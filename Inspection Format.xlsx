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6737122-75DB-4BA4-9F6B-0654E1D29D87}" xr6:coauthVersionLast="47" xr6:coauthVersionMax="47" xr10:uidLastSave="{00000000-0000-0000-0000-000000000000}"/>
  <bookViews>
    <workbookView xWindow="-108" yWindow="-108" windowWidth="23256" windowHeight="12456" activeTab="1" xr2:uid="{5D4FD590-8E7C-4275-84B6-035B4C11C2DD}"/>
  </bookViews>
  <sheets>
    <sheet name="Index" sheetId="2" r:id="rId1"/>
    <sheet name="W1G0000557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  <c r="E60" i="1"/>
  <c r="F58" i="1"/>
  <c r="E58" i="1"/>
  <c r="F57" i="1"/>
  <c r="E57" i="1"/>
  <c r="F56" i="1"/>
  <c r="E56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1" i="1"/>
  <c r="E11" i="1"/>
  <c r="F9" i="1"/>
  <c r="E9" i="1"/>
  <c r="F8" i="1"/>
  <c r="E8" i="1"/>
</calcChain>
</file>

<file path=xl/sharedStrings.xml><?xml version="1.0" encoding="utf-8"?>
<sst xmlns="http://schemas.openxmlformats.org/spreadsheetml/2006/main" count="112" uniqueCount="71">
  <si>
    <r>
      <rPr>
        <b/>
        <sz val="11"/>
        <rFont val="Times New Roman"/>
        <family val="1"/>
      </rPr>
      <t>SIMRAN TECHNOCRATS (I) PVT. LTD</t>
    </r>
    <r>
      <rPr>
        <sz val="11"/>
        <rFont val="Times New Roman"/>
        <family val="1"/>
      </rPr>
      <t xml:space="preserve">
W -7, Phase-II,MIDC,Behind DNS Bank, Dombivali
 E-mail :avtararsh111@gmail.com/ info@simrantechnocrats.com      </t>
    </r>
  </si>
  <si>
    <t>INSPECTION REPORT</t>
  </si>
  <si>
    <t>DRG.NO.</t>
  </si>
  <si>
    <t>W1G00005572A</t>
  </si>
  <si>
    <t>PO NO</t>
  </si>
  <si>
    <t>ITEM CODE</t>
  </si>
  <si>
    <t>W1G00005572</t>
  </si>
  <si>
    <t xml:space="preserve">IDENTIFICATION </t>
  </si>
  <si>
    <t>DESCRIPTION</t>
  </si>
  <si>
    <t>AIR DUCT CAP</t>
  </si>
  <si>
    <t>QTY</t>
  </si>
  <si>
    <t>SR.NO</t>
  </si>
  <si>
    <t>REQ. DIM.</t>
  </si>
  <si>
    <t>TOLERANCE</t>
  </si>
  <si>
    <t>DIMENSION MEASURED</t>
  </si>
  <si>
    <t xml:space="preserve">EQUIPMENT ID </t>
  </si>
  <si>
    <t>REMARK</t>
  </si>
  <si>
    <t>Symboles</t>
  </si>
  <si>
    <t>Min</t>
  </si>
  <si>
    <t>Max</t>
  </si>
  <si>
    <t>01</t>
  </si>
  <si>
    <t>02</t>
  </si>
  <si>
    <t>03</t>
  </si>
  <si>
    <t>04</t>
  </si>
  <si>
    <t>05</t>
  </si>
  <si>
    <t>(2065)</t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</si>
  <si>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2</t>
    </r>
  </si>
  <si>
    <t>(1032.5)</t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</si>
  <si>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1.2</t>
    </r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</si>
  <si>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3</t>
    </r>
  </si>
  <si>
    <t>100°</t>
  </si>
  <si>
    <r>
      <rPr>
        <sz val="12"/>
        <color rgb="FF000000"/>
        <rFont val="Calibri"/>
        <family val="2"/>
      </rPr>
      <t>±</t>
    </r>
    <r>
      <rPr>
        <sz val="12"/>
        <color rgb="FF000000"/>
        <rFont val="Times New Roman"/>
        <family val="1"/>
      </rPr>
      <t>1°</t>
    </r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</si>
  <si>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1.5</t>
    </r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</si>
  <si>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0.3</t>
    </r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</si>
  <si>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0.5</t>
    </r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</si>
  <si>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0.8</t>
    </r>
  </si>
  <si>
    <t>(136.5)</t>
  </si>
  <si>
    <t>1960</t>
  </si>
  <si>
    <t>355</t>
  </si>
  <si>
    <t>(1408.2)</t>
  </si>
  <si>
    <t>(1305)</t>
  </si>
  <si>
    <t>860</t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</si>
  <si>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4</t>
    </r>
  </si>
  <si>
    <t xml:space="preserve">430 </t>
  </si>
  <si>
    <t>(218.5)</t>
  </si>
  <si>
    <t>3CZ</t>
  </si>
  <si>
    <t>1CZ</t>
  </si>
  <si>
    <t>Ø12</t>
  </si>
  <si>
    <r>
      <rPr>
        <sz val="11"/>
        <color rgb="FF000000"/>
        <rFont val="Calibri"/>
        <family val="2"/>
      </rPr>
      <t>±</t>
    </r>
    <r>
      <rPr>
        <sz val="11"/>
        <color rgb="FF000000"/>
        <rFont val="Times New Roman"/>
        <family val="1"/>
      </rPr>
      <t>0.2</t>
    </r>
  </si>
  <si>
    <t>Ø</t>
  </si>
  <si>
    <t>12</t>
  </si>
  <si>
    <t>M10</t>
  </si>
  <si>
    <t>GO-NOGO</t>
  </si>
  <si>
    <t>ok</t>
  </si>
  <si>
    <t>Ø25</t>
  </si>
  <si>
    <t>±0.2</t>
  </si>
  <si>
    <t xml:space="preserve">INSPECTOR </t>
  </si>
  <si>
    <t>APPROVED BY</t>
  </si>
  <si>
    <t>Quality Head</t>
  </si>
  <si>
    <t>SIGNATURE</t>
  </si>
  <si>
    <t xml:space="preserve">Insp Date </t>
  </si>
  <si>
    <t>DATE</t>
  </si>
  <si>
    <t xml:space="preserve">FORMAT NO.-ST/QC/02 </t>
  </si>
  <si>
    <t>REV.NO.-02</t>
  </si>
  <si>
    <t xml:space="preserve">DATE-01-09-23     </t>
  </si>
  <si>
    <t xml:space="preserve">                                                                                                                                                              </t>
  </si>
  <si>
    <t>Sr No</t>
  </si>
  <si>
    <t>Item No</t>
  </si>
  <si>
    <t>Description</t>
  </si>
  <si>
    <t>F2E02049532</t>
  </si>
  <si>
    <t>Air Duct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</si>
</sst>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sz val="11"/>
      <name val="Times New Roman"/>
      <family val="2"/>
    </font>
    <font>
      <sz val="11"/>
      <color theme="1"/>
      <name val="Times New Roman"/>
      <family val="1"/>
    </font>
    <font>
      <sz val="10"/>
      <name val="Times New Roman"/>
      <family val="2"/>
    </font>
    <font>
      <sz val="12"/>
      <color rgb="FF000000"/>
      <name val="Times New Roman"/>
      <family val="2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sz val="11"/>
      <name val="Calibri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9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0" borderId="26" xfId="1" quotePrefix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 shrinkToFit="1"/>
    </xf>
    <xf numFmtId="1" fontId="6" fillId="0" borderId="29" xfId="1" applyNumberFormat="1" applyFont="1" applyBorder="1" applyAlignment="1">
      <alignment horizontal="center" vertical="top" shrinkToFit="1"/>
    </xf>
    <xf numFmtId="0" fontId="8" fillId="2" borderId="28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/>
    </xf>
    <xf numFmtId="0" fontId="3" fillId="0" borderId="31" xfId="1" applyFont="1" applyBorder="1" applyAlignment="1">
      <alignment horizontal="center" vertical="center"/>
    </xf>
    <xf numFmtId="49" fontId="5" fillId="0" borderId="32" xfId="1" applyNumberFormat="1" applyFont="1" applyBorder="1" applyAlignment="1">
      <alignment horizontal="center" vertical="center" shrinkToFit="1"/>
    </xf>
    <xf numFmtId="1" fontId="5" fillId="0" borderId="32" xfId="1" quotePrefix="1" applyNumberFormat="1" applyFont="1" applyBorder="1" applyAlignment="1">
      <alignment horizontal="center" vertical="top" shrinkToFit="1"/>
    </xf>
    <xf numFmtId="0" fontId="10" fillId="0" borderId="33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1" fontId="5" fillId="0" borderId="32" xfId="1" applyNumberFormat="1" applyFont="1" applyBorder="1" applyAlignment="1">
      <alignment horizontal="center" vertical="center" shrinkToFit="1"/>
    </xf>
    <xf numFmtId="164" fontId="6" fillId="0" borderId="32" xfId="1" applyNumberFormat="1" applyFont="1" applyBorder="1" applyAlignment="1">
      <alignment horizontal="center" vertical="top" shrinkToFit="1"/>
    </xf>
    <xf numFmtId="1" fontId="8" fillId="2" borderId="30" xfId="1" applyNumberFormat="1" applyFont="1" applyFill="1" applyBorder="1" applyAlignment="1">
      <alignment horizontal="center" vertical="center"/>
    </xf>
    <xf numFmtId="49" fontId="11" fillId="0" borderId="34" xfId="1" applyNumberFormat="1" applyFont="1" applyBorder="1" applyAlignment="1">
      <alignment horizontal="center" vertical="center" shrinkToFit="1"/>
    </xf>
    <xf numFmtId="164" fontId="8" fillId="2" borderId="30" xfId="1" applyNumberFormat="1" applyFont="1" applyFill="1" applyBorder="1" applyAlignment="1">
      <alignment horizontal="center" vertical="center"/>
    </xf>
    <xf numFmtId="2" fontId="8" fillId="2" borderId="30" xfId="1" applyNumberFormat="1" applyFont="1" applyFill="1" applyBorder="1" applyAlignment="1">
      <alignment horizontal="center" vertical="center"/>
    </xf>
    <xf numFmtId="164" fontId="5" fillId="0" borderId="32" xfId="1" applyNumberFormat="1" applyFont="1" applyBorder="1" applyAlignment="1">
      <alignment horizontal="center" vertical="center" shrinkToFit="1"/>
    </xf>
    <xf numFmtId="0" fontId="3" fillId="0" borderId="32" xfId="1" applyFont="1" applyBorder="1" applyAlignment="1">
      <alignment horizontal="center" vertical="center" wrapText="1"/>
    </xf>
    <xf numFmtId="1" fontId="6" fillId="0" borderId="32" xfId="1" applyNumberFormat="1" applyFont="1" applyBorder="1" applyAlignment="1">
      <alignment horizontal="center" vertical="top" shrinkToFit="1"/>
    </xf>
    <xf numFmtId="49" fontId="8" fillId="2" borderId="30" xfId="1" applyNumberFormat="1" applyFont="1" applyFill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1" fontId="5" fillId="0" borderId="37" xfId="1" applyNumberFormat="1" applyFont="1" applyBorder="1" applyAlignment="1">
      <alignment horizontal="center" vertical="center" shrinkToFit="1"/>
    </xf>
    <xf numFmtId="0" fontId="14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2" borderId="39" xfId="1" applyFont="1" applyFill="1" applyBorder="1" applyAlignment="1">
      <alignment horizontal="center" vertical="center"/>
    </xf>
    <xf numFmtId="0" fontId="8" fillId="2" borderId="40" xfId="1" applyFont="1" applyFill="1" applyBorder="1" applyAlignment="1">
      <alignment horizontal="center" vertical="center"/>
    </xf>
    <xf numFmtId="0" fontId="9" fillId="0" borderId="35" xfId="1" applyFont="1" applyBorder="1" applyAlignment="1">
      <alignment horizontal="center" vertical="center"/>
    </xf>
    <xf numFmtId="0" fontId="9" fillId="0" borderId="41" xfId="1" applyFont="1" applyBorder="1" applyAlignment="1">
      <alignment horizontal="center"/>
    </xf>
    <xf numFmtId="0" fontId="4" fillId="0" borderId="42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 wrapText="1"/>
    </xf>
    <xf numFmtId="0" fontId="4" fillId="0" borderId="42" xfId="1" applyFont="1" applyBorder="1" applyAlignment="1">
      <alignment horizontal="left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21" xfId="1" applyFont="1" applyBorder="1" applyAlignment="1">
      <alignment vertical="center" wrapText="1"/>
    </xf>
    <xf numFmtId="0" fontId="4" fillId="0" borderId="43" xfId="1" applyFont="1" applyBorder="1" applyAlignment="1">
      <alignment horizontal="left" vertical="center"/>
    </xf>
    <xf numFmtId="0" fontId="3" fillId="0" borderId="11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4" fillId="0" borderId="44" xfId="1" applyFont="1" applyBorder="1" applyAlignment="1">
      <alignment horizontal="left" vertical="center"/>
    </xf>
    <xf numFmtId="14" fontId="3" fillId="0" borderId="16" xfId="1" applyNumberFormat="1" applyFont="1" applyBorder="1" applyAlignment="1">
      <alignment horizontal="left" vertical="center"/>
    </xf>
    <xf numFmtId="14" fontId="3" fillId="0" borderId="17" xfId="1" applyNumberFormat="1" applyFont="1" applyBorder="1" applyAlignment="1">
      <alignment horizontal="left" vertical="center"/>
    </xf>
    <xf numFmtId="14" fontId="3" fillId="0" borderId="18" xfId="1" applyNumberFormat="1" applyFont="1" applyBorder="1" applyAlignment="1">
      <alignment horizontal="left" vertical="center"/>
    </xf>
    <xf numFmtId="14" fontId="9" fillId="0" borderId="16" xfId="1" applyNumberFormat="1" applyFont="1" applyBorder="1" applyAlignment="1">
      <alignment horizontal="center" vertical="center"/>
    </xf>
    <xf numFmtId="0" fontId="9" fillId="0" borderId="18" xfId="1" applyFont="1" applyBorder="1"/>
    <xf numFmtId="0" fontId="15" fillId="0" borderId="45" xfId="1" applyFont="1" applyBorder="1" applyAlignment="1">
      <alignment wrapText="1"/>
    </xf>
    <xf numFmtId="0" fontId="15" fillId="0" borderId="46" xfId="1" applyFont="1" applyBorder="1" applyAlignment="1">
      <alignment wrapText="1"/>
    </xf>
    <xf numFmtId="0" fontId="15" fillId="0" borderId="47" xfId="1" applyFont="1" applyBorder="1" applyAlignment="1">
      <alignment wrapText="1"/>
    </xf>
    <xf numFmtId="0" fontId="15" fillId="0" borderId="48" xfId="1" applyFont="1" applyBorder="1" applyAlignment="1">
      <alignment horizontal="center" wrapText="1"/>
    </xf>
    <xf numFmtId="0" fontId="15" fillId="0" borderId="49" xfId="1" applyFont="1" applyBorder="1" applyAlignment="1">
      <alignment horizontal="center" wrapText="1"/>
    </xf>
    <xf numFmtId="0" fontId="15" fillId="0" borderId="27" xfId="1" applyFont="1" applyBorder="1" applyAlignment="1">
      <alignment horizontal="center" wrapText="1"/>
    </xf>
    <xf numFmtId="0" fontId="15" fillId="0" borderId="45" xfId="1" applyFont="1" applyBorder="1" applyAlignment="1">
      <alignment horizontal="center" wrapText="1"/>
    </xf>
    <xf numFmtId="0" fontId="15" fillId="0" borderId="46" xfId="1" applyFont="1" applyBorder="1" applyAlignment="1">
      <alignment horizontal="center" wrapText="1"/>
    </xf>
    <xf numFmtId="0" fontId="15" fillId="0" borderId="47" xfId="1" applyFont="1" applyBorder="1" applyAlignment="1">
      <alignment horizontal="center" wrapText="1"/>
    </xf>
    <xf numFmtId="0" fontId="0" fillId="0" borderId="0" xfId="1" applyFont="1"/>
    <xf numFmtId="0" fontId="2" fillId="0" borderId="26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0" fontId="0" fillId="0" borderId="31" xfId="0" applyBorder="1" applyAlignment="1">
      <alignment horizontal="center" vertical="center"/>
    </xf>
    <xf numFmtId="0" fontId="0" fillId="0" borderId="53" xfId="0" applyBorder="1"/>
    <xf numFmtId="0" fontId="0" fillId="0" borderId="43" xfId="0" applyBorder="1"/>
    <xf numFmtId="0" fontId="0" fillId="0" borderId="24" xfId="0" applyBorder="1" applyAlignment="1">
      <alignment horizontal="center" vertical="center"/>
    </xf>
    <xf numFmtId="0" fontId="0" fillId="0" borderId="54" xfId="0" applyBorder="1"/>
    <xf numFmtId="0" fontId="0" fillId="0" borderId="44" xfId="0" applyBorder="1"/>
  </cellXfs>
  <cellStyles count="2">
    <cellStyle name="Normal" xfId="0" builtinId="0"/>
    <cellStyle name="Normal 2 3" xfId="1" xr:uid="{817FF9DA-90DE-4B53-BECD-1238F2E8E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448234</xdr:colOff>
      <xdr:row>0</xdr:row>
      <xdr:rowOff>132221</xdr:rowOff>
    </xdr:from>
    <xdr:to>
      <xdr:col>2</xdr:col>
      <xdr:colOff>412278</xdr:colOff>
      <xdr:row>0</xdr:row>
      <xdr:rowOff>744304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D62C07-7B6C-47FB-91F1-2828B2E3C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154" y="132221"/>
          <a:ext cx="741284" cy="612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303485</xdr:colOff>
      <xdr:row>9</xdr:row>
      <xdr:rowOff>48724</xdr:rowOff>
    </xdr:from>
    <xdr:to>
      <xdr:col>1</xdr:col>
      <xdr:colOff>592166</xdr:colOff>
      <xdr:row>9</xdr:row>
      <xdr:rowOff>138845</xdr:rowOff>
    </xdr:to>
    <xdr:sp macro="" textlink="">
      <xdr:nvSpPr>
        <xdr:cNvPr id="3" name="Flowchart: Data 2">
          <a:extLst>
            <a:ext uri="{FF2B5EF4-FFF2-40B4-BE49-F238E27FC236}">
              <a16:creationId xmlns:a16="http://schemas.microsoft.com/office/drawing/2014/main" id="{03021477-0BFD-4467-B33C-EE13D72751AA}"/>
            </a:ext>
          </a:extLst>
        </xdr:cNvPr>
        <xdr:cNvSpPr/>
      </xdr:nvSpPr>
      <xdr:spPr>
        <a:xfrm>
          <a:off x="806405" y="2464264"/>
          <a:ext cx="288681" cy="90121"/>
        </a:xfrm>
        <a:prstGeom prst="flowChartInputOutpu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168519</xdr:colOff>
      <xdr:row>53</xdr:row>
      <xdr:rowOff>65942</xdr:rowOff>
    </xdr:from>
    <xdr:to>
      <xdr:col>1</xdr:col>
      <xdr:colOff>637190</xdr:colOff>
      <xdr:row>53</xdr:row>
      <xdr:rowOff>236483</xdr:rowOff>
    </xdr:to>
    <xdr:sp macro="" textlink="">
      <xdr:nvSpPr>
        <xdr:cNvPr id="4" name="Flowchart: Data 3">
          <a:extLst>
            <a:ext uri="{FF2B5EF4-FFF2-40B4-BE49-F238E27FC236}">
              <a16:creationId xmlns:a16="http://schemas.microsoft.com/office/drawing/2014/main" id="{77F7C6B9-A1A8-4CDB-911F-7F2230DD24BD}"/>
            </a:ext>
          </a:extLst>
        </xdr:cNvPr>
        <xdr:cNvSpPr/>
      </xdr:nvSpPr>
      <xdr:spPr>
        <a:xfrm>
          <a:off x="671439" y="10543442"/>
          <a:ext cx="468671" cy="170541"/>
        </a:xfrm>
        <a:prstGeom prst="flowChartInputOutpu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142993</xdr:colOff>
      <xdr:row>54</xdr:row>
      <xdr:rowOff>73449</xdr:rowOff>
    </xdr:from>
    <xdr:to>
      <xdr:col>1</xdr:col>
      <xdr:colOff>611664</xdr:colOff>
      <xdr:row>54</xdr:row>
      <xdr:rowOff>243990</xdr:rowOff>
    </xdr:to>
    <xdr:sp macro="" textlink="">
      <xdr:nvSpPr>
        <xdr:cNvPr id="5" name="Flowchart: Data 4">
          <a:extLst>
            <a:ext uri="{FF2B5EF4-FFF2-40B4-BE49-F238E27FC236}">
              <a16:creationId xmlns:a16="http://schemas.microsoft.com/office/drawing/2014/main" id="{B40D9482-CAB2-4F4F-9A87-B3CB1F101EDB}"/>
            </a:ext>
          </a:extLst>
        </xdr:cNvPr>
        <xdr:cNvSpPr/>
      </xdr:nvSpPr>
      <xdr:spPr>
        <a:xfrm>
          <a:off x="645913" y="10863369"/>
          <a:ext cx="468671" cy="170541"/>
        </a:xfrm>
        <a:prstGeom prst="flowChartInputOutpu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5B4B-8CCE-4BCA-85DE-A77B61728482}">
  <dimension ref="A1:C131"/>
  <sheetViews>
    <sheetView workbookViewId="0">
      <selection activeCell="C8" sqref="C8"/>
    </sheetView>
  </sheetViews>
  <sheetFormatPr defaultRowHeight="14.4" x14ac:dyDescent="0.3"/>
  <cols>
    <col min="1" max="1" width="5.44140625" bestFit="1" customWidth="1"/>
    <col min="2" max="2" width="15.109375" customWidth="1"/>
    <col min="3" max="3" width="30" customWidth="1"/>
  </cols>
  <sheetData>
    <row r="1" spans="1:3" ht="15" thickBot="1" x14ac:dyDescent="0.35">
      <c r="A1" s="102" t="s">
        <v>66</v>
      </c>
      <c r="B1" s="103" t="s">
        <v>67</v>
      </c>
      <c r="C1" s="104" t="s">
        <v>68</v>
      </c>
    </row>
    <row r="2" spans="1:3" x14ac:dyDescent="0.3">
      <c r="A2" s="105">
        <v>1</v>
      </c>
      <c r="B2" s="106" t="s">
        <v>69</v>
      </c>
      <c r="C2" s="107" t="s">
        <v>70</v>
      </c>
    </row>
    <row r="3" spans="1:3" x14ac:dyDescent="0.3">
      <c r="A3" s="108">
        <v>2</v>
      </c>
      <c r="B3" s="109"/>
      <c r="C3" s="110"/>
    </row>
    <row r="4" spans="1:3" x14ac:dyDescent="0.3">
      <c r="A4" s="108">
        <v>3</v>
      </c>
      <c r="B4" s="109"/>
      <c r="C4" s="110"/>
    </row>
    <row r="5" spans="1:3" x14ac:dyDescent="0.3">
      <c r="A5" s="108">
        <v>4</v>
      </c>
      <c r="B5" s="109"/>
      <c r="C5" s="110"/>
    </row>
    <row r="6" spans="1:3" x14ac:dyDescent="0.3">
      <c r="A6" s="108">
        <v>5</v>
      </c>
      <c r="B6" s="109"/>
      <c r="C6" s="110"/>
    </row>
    <row r="7" spans="1:3" x14ac:dyDescent="0.3">
      <c r="A7" s="108">
        <v>6</v>
      </c>
      <c r="B7" s="109"/>
      <c r="C7" s="110"/>
    </row>
    <row r="8" spans="1:3" x14ac:dyDescent="0.3">
      <c r="A8" s="108">
        <v>7</v>
      </c>
      <c r="B8" s="109"/>
      <c r="C8" s="110"/>
    </row>
    <row r="9" spans="1:3" x14ac:dyDescent="0.3">
      <c r="A9" s="108">
        <v>8</v>
      </c>
      <c r="B9" s="109"/>
      <c r="C9" s="110"/>
    </row>
    <row r="10" spans="1:3" x14ac:dyDescent="0.3">
      <c r="A10" s="108">
        <v>9</v>
      </c>
      <c r="B10" s="109"/>
      <c r="C10" s="110"/>
    </row>
    <row r="11" spans="1:3" x14ac:dyDescent="0.3">
      <c r="A11" s="108">
        <v>10</v>
      </c>
      <c r="B11" s="109"/>
      <c r="C11" s="110"/>
    </row>
    <row r="12" spans="1:3" x14ac:dyDescent="0.3">
      <c r="A12" s="108">
        <v>11</v>
      </c>
      <c r="B12" s="109"/>
      <c r="C12" s="110"/>
    </row>
    <row r="13" spans="1:3" x14ac:dyDescent="0.3">
      <c r="A13" s="108">
        <v>12</v>
      </c>
      <c r="B13" s="109"/>
      <c r="C13" s="110"/>
    </row>
    <row r="14" spans="1:3" x14ac:dyDescent="0.3">
      <c r="A14" s="108">
        <v>13</v>
      </c>
      <c r="B14" s="109"/>
      <c r="C14" s="110"/>
    </row>
    <row r="15" spans="1:3" x14ac:dyDescent="0.3">
      <c r="A15" s="108">
        <v>14</v>
      </c>
      <c r="B15" s="109"/>
      <c r="C15" s="110"/>
    </row>
    <row r="16" spans="1:3" x14ac:dyDescent="0.3">
      <c r="A16" s="108">
        <v>15</v>
      </c>
      <c r="B16" s="109"/>
      <c r="C16" s="110"/>
    </row>
    <row r="17" spans="1:3" x14ac:dyDescent="0.3">
      <c r="A17" s="108">
        <v>16</v>
      </c>
      <c r="B17" s="109"/>
      <c r="C17" s="110"/>
    </row>
    <row r="18" spans="1:3" x14ac:dyDescent="0.3">
      <c r="A18" s="108">
        <v>17</v>
      </c>
      <c r="B18" s="109"/>
      <c r="C18" s="110"/>
    </row>
    <row r="19" spans="1:3" x14ac:dyDescent="0.3">
      <c r="A19" s="108">
        <v>18</v>
      </c>
      <c r="B19" s="109"/>
      <c r="C19" s="110"/>
    </row>
    <row r="20" spans="1:3" x14ac:dyDescent="0.3">
      <c r="A20" s="108">
        <v>19</v>
      </c>
      <c r="B20" s="109"/>
      <c r="C20" s="110"/>
    </row>
    <row r="21" spans="1:3" x14ac:dyDescent="0.3">
      <c r="A21" s="108">
        <v>20</v>
      </c>
      <c r="B21" s="109"/>
      <c r="C21" s="110"/>
    </row>
    <row r="22" spans="1:3" x14ac:dyDescent="0.3">
      <c r="A22" s="108">
        <v>21</v>
      </c>
      <c r="B22" s="109"/>
      <c r="C22" s="110"/>
    </row>
    <row r="23" spans="1:3" x14ac:dyDescent="0.3">
      <c r="A23" s="108">
        <v>22</v>
      </c>
      <c r="B23" s="109"/>
      <c r="C23" s="110"/>
    </row>
    <row r="24" spans="1:3" x14ac:dyDescent="0.3">
      <c r="A24" s="108">
        <v>23</v>
      </c>
      <c r="B24" s="109"/>
      <c r="C24" s="110"/>
    </row>
    <row r="25" spans="1:3" x14ac:dyDescent="0.3">
      <c r="A25" s="108">
        <v>24</v>
      </c>
      <c r="B25" s="109"/>
      <c r="C25" s="110"/>
    </row>
    <row r="26" spans="1:3" x14ac:dyDescent="0.3">
      <c r="A26" s="108">
        <v>25</v>
      </c>
      <c r="B26" s="109"/>
      <c r="C26" s="110"/>
    </row>
    <row r="27" spans="1:3" x14ac:dyDescent="0.3">
      <c r="A27" s="108">
        <v>26</v>
      </c>
      <c r="B27" s="109"/>
      <c r="C27" s="110"/>
    </row>
    <row r="28" spans="1:3" x14ac:dyDescent="0.3">
      <c r="A28" s="108">
        <v>27</v>
      </c>
      <c r="B28" s="109"/>
      <c r="C28" s="110"/>
    </row>
    <row r="29" spans="1:3" x14ac:dyDescent="0.3">
      <c r="A29" s="108">
        <v>28</v>
      </c>
      <c r="B29" s="109"/>
      <c r="C29" s="110"/>
    </row>
    <row r="30" spans="1:3" x14ac:dyDescent="0.3">
      <c r="A30" s="108">
        <v>29</v>
      </c>
      <c r="B30" s="109"/>
      <c r="C30" s="110"/>
    </row>
    <row r="31" spans="1:3" x14ac:dyDescent="0.3">
      <c r="A31" s="108">
        <v>30</v>
      </c>
      <c r="B31" s="109"/>
      <c r="C31" s="110"/>
    </row>
    <row r="32" spans="1:3" x14ac:dyDescent="0.3">
      <c r="A32" s="108">
        <v>31</v>
      </c>
      <c r="B32" s="109"/>
      <c r="C32" s="110"/>
    </row>
    <row r="33" spans="1:3" x14ac:dyDescent="0.3">
      <c r="A33" s="108">
        <v>32</v>
      </c>
      <c r="B33" s="109"/>
      <c r="C33" s="110"/>
    </row>
    <row r="34" spans="1:3" x14ac:dyDescent="0.3">
      <c r="A34" s="108">
        <v>33</v>
      </c>
      <c r="B34" s="109"/>
      <c r="C34" s="110"/>
    </row>
    <row r="35" spans="1:3" x14ac:dyDescent="0.3">
      <c r="A35" s="108">
        <v>34</v>
      </c>
      <c r="B35" s="109"/>
      <c r="C35" s="110"/>
    </row>
    <row r="36" spans="1:3" x14ac:dyDescent="0.3">
      <c r="A36" s="108">
        <v>35</v>
      </c>
      <c r="B36" s="109"/>
      <c r="C36" s="110"/>
    </row>
    <row r="37" spans="1:3" x14ac:dyDescent="0.3">
      <c r="A37" s="108">
        <v>36</v>
      </c>
      <c r="B37" s="109"/>
      <c r="C37" s="110"/>
    </row>
    <row r="38" spans="1:3" x14ac:dyDescent="0.3">
      <c r="A38" s="108">
        <v>37</v>
      </c>
      <c r="B38" s="109"/>
      <c r="C38" s="110"/>
    </row>
    <row r="39" spans="1:3" x14ac:dyDescent="0.3">
      <c r="A39" s="108">
        <v>38</v>
      </c>
      <c r="B39" s="109"/>
      <c r="C39" s="110"/>
    </row>
    <row r="40" spans="1:3" x14ac:dyDescent="0.3">
      <c r="A40" s="108">
        <v>39</v>
      </c>
      <c r="B40" s="109"/>
      <c r="C40" s="110"/>
    </row>
    <row r="41" spans="1:3" x14ac:dyDescent="0.3">
      <c r="A41" s="108">
        <v>40</v>
      </c>
      <c r="B41" s="109"/>
      <c r="C41" s="110"/>
    </row>
    <row r="42" spans="1:3" x14ac:dyDescent="0.3">
      <c r="A42" s="108">
        <v>41</v>
      </c>
      <c r="B42" s="109"/>
      <c r="C42" s="110"/>
    </row>
    <row r="43" spans="1:3" x14ac:dyDescent="0.3">
      <c r="A43" s="108">
        <v>42</v>
      </c>
      <c r="B43" s="109"/>
      <c r="C43" s="110"/>
    </row>
    <row r="44" spans="1:3" x14ac:dyDescent="0.3">
      <c r="A44" s="108">
        <v>43</v>
      </c>
      <c r="B44" s="109"/>
      <c r="C44" s="110"/>
    </row>
    <row r="45" spans="1:3" x14ac:dyDescent="0.3">
      <c r="A45" s="108">
        <v>44</v>
      </c>
      <c r="B45" s="109"/>
      <c r="C45" s="110"/>
    </row>
    <row r="46" spans="1:3" x14ac:dyDescent="0.3">
      <c r="A46" s="108">
        <v>45</v>
      </c>
      <c r="B46" s="109"/>
      <c r="C46" s="110"/>
    </row>
    <row r="47" spans="1:3" x14ac:dyDescent="0.3">
      <c r="A47" s="108">
        <v>46</v>
      </c>
      <c r="B47" s="109"/>
      <c r="C47" s="110"/>
    </row>
    <row r="48" spans="1:3" x14ac:dyDescent="0.3">
      <c r="A48" s="108">
        <v>47</v>
      </c>
      <c r="B48" s="109"/>
      <c r="C48" s="110"/>
    </row>
    <row r="49" spans="1:3" x14ac:dyDescent="0.3">
      <c r="A49" s="108">
        <v>48</v>
      </c>
      <c r="B49" s="109"/>
      <c r="C49" s="110"/>
    </row>
    <row r="50" spans="1:3" x14ac:dyDescent="0.3">
      <c r="A50" s="108">
        <v>49</v>
      </c>
      <c r="B50" s="109"/>
      <c r="C50" s="110"/>
    </row>
    <row r="51" spans="1:3" x14ac:dyDescent="0.3">
      <c r="A51" s="108">
        <v>50</v>
      </c>
      <c r="B51" s="109"/>
      <c r="C51" s="110"/>
    </row>
    <row r="52" spans="1:3" x14ac:dyDescent="0.3">
      <c r="A52" s="108">
        <v>51</v>
      </c>
      <c r="B52" s="109"/>
      <c r="C52" s="110"/>
    </row>
    <row r="53" spans="1:3" x14ac:dyDescent="0.3">
      <c r="A53" s="108">
        <v>52</v>
      </c>
      <c r="B53" s="109"/>
      <c r="C53" s="110"/>
    </row>
    <row r="54" spans="1:3" x14ac:dyDescent="0.3">
      <c r="A54" s="108">
        <v>53</v>
      </c>
      <c r="B54" s="109"/>
      <c r="C54" s="110"/>
    </row>
    <row r="55" spans="1:3" x14ac:dyDescent="0.3">
      <c r="A55" s="108">
        <v>54</v>
      </c>
      <c r="B55" s="109"/>
      <c r="C55" s="110"/>
    </row>
    <row r="56" spans="1:3" x14ac:dyDescent="0.3">
      <c r="A56" s="108">
        <v>55</v>
      </c>
      <c r="B56" s="109"/>
      <c r="C56" s="110"/>
    </row>
    <row r="57" spans="1:3" x14ac:dyDescent="0.3">
      <c r="A57" s="108">
        <v>56</v>
      </c>
      <c r="B57" s="109"/>
      <c r="C57" s="110"/>
    </row>
    <row r="58" spans="1:3" x14ac:dyDescent="0.3">
      <c r="A58" s="108">
        <v>57</v>
      </c>
      <c r="B58" s="109"/>
      <c r="C58" s="110"/>
    </row>
    <row r="59" spans="1:3" x14ac:dyDescent="0.3">
      <c r="A59" s="108">
        <v>58</v>
      </c>
      <c r="B59" s="109"/>
      <c r="C59" s="110"/>
    </row>
    <row r="60" spans="1:3" x14ac:dyDescent="0.3">
      <c r="A60" s="108">
        <v>59</v>
      </c>
      <c r="B60" s="109"/>
      <c r="C60" s="110"/>
    </row>
    <row r="61" spans="1:3" x14ac:dyDescent="0.3">
      <c r="A61" s="108">
        <v>60</v>
      </c>
      <c r="B61" s="109"/>
      <c r="C61" s="110"/>
    </row>
    <row r="62" spans="1:3" x14ac:dyDescent="0.3">
      <c r="A62" s="108">
        <v>61</v>
      </c>
      <c r="B62" s="109"/>
      <c r="C62" s="110"/>
    </row>
    <row r="63" spans="1:3" x14ac:dyDescent="0.3">
      <c r="A63" s="108">
        <v>62</v>
      </c>
      <c r="B63" s="109"/>
      <c r="C63" s="110"/>
    </row>
    <row r="64" spans="1:3" x14ac:dyDescent="0.3">
      <c r="A64" s="108">
        <v>63</v>
      </c>
      <c r="B64" s="109"/>
      <c r="C64" s="110"/>
    </row>
    <row r="65" spans="1:3" x14ac:dyDescent="0.3">
      <c r="A65" s="108">
        <v>64</v>
      </c>
      <c r="B65" s="109"/>
      <c r="C65" s="110"/>
    </row>
    <row r="66" spans="1:3" x14ac:dyDescent="0.3">
      <c r="A66" s="108">
        <v>65</v>
      </c>
      <c r="B66" s="109"/>
      <c r="C66" s="110"/>
    </row>
    <row r="67" spans="1:3" x14ac:dyDescent="0.3">
      <c r="A67" s="108">
        <v>66</v>
      </c>
      <c r="B67" s="109"/>
      <c r="C67" s="110"/>
    </row>
    <row r="68" spans="1:3" x14ac:dyDescent="0.3">
      <c r="A68" s="108">
        <v>67</v>
      </c>
      <c r="B68" s="109"/>
      <c r="C68" s="110"/>
    </row>
    <row r="69" spans="1:3" x14ac:dyDescent="0.3">
      <c r="A69" s="108">
        <v>68</v>
      </c>
      <c r="B69" s="109"/>
      <c r="C69" s="110"/>
    </row>
    <row r="70" spans="1:3" x14ac:dyDescent="0.3">
      <c r="A70" s="108">
        <v>69</v>
      </c>
      <c r="B70" s="109"/>
      <c r="C70" s="110"/>
    </row>
    <row r="71" spans="1:3" x14ac:dyDescent="0.3">
      <c r="A71" s="108">
        <v>70</v>
      </c>
      <c r="B71" s="109"/>
      <c r="C71" s="110"/>
    </row>
    <row r="72" spans="1:3" x14ac:dyDescent="0.3">
      <c r="A72" s="108">
        <v>71</v>
      </c>
      <c r="B72" s="109"/>
      <c r="C72" s="110"/>
    </row>
    <row r="73" spans="1:3" x14ac:dyDescent="0.3">
      <c r="A73" s="108">
        <v>72</v>
      </c>
      <c r="B73" s="109"/>
      <c r="C73" s="110"/>
    </row>
    <row r="74" spans="1:3" x14ac:dyDescent="0.3">
      <c r="A74" s="108">
        <v>73</v>
      </c>
      <c r="B74" s="109"/>
      <c r="C74" s="110"/>
    </row>
    <row r="75" spans="1:3" x14ac:dyDescent="0.3">
      <c r="A75" s="108">
        <v>74</v>
      </c>
      <c r="B75" s="109"/>
      <c r="C75" s="110"/>
    </row>
    <row r="76" spans="1:3" x14ac:dyDescent="0.3">
      <c r="A76" s="108">
        <v>75</v>
      </c>
      <c r="B76" s="109"/>
      <c r="C76" s="110"/>
    </row>
    <row r="77" spans="1:3" x14ac:dyDescent="0.3">
      <c r="A77" s="108">
        <v>76</v>
      </c>
      <c r="B77" s="109"/>
      <c r="C77" s="110"/>
    </row>
    <row r="78" spans="1:3" x14ac:dyDescent="0.3">
      <c r="A78" s="108">
        <v>77</v>
      </c>
      <c r="B78" s="109"/>
      <c r="C78" s="110"/>
    </row>
    <row r="79" spans="1:3" x14ac:dyDescent="0.3">
      <c r="A79" s="108">
        <v>78</v>
      </c>
      <c r="B79" s="109"/>
      <c r="C79" s="110"/>
    </row>
    <row r="80" spans="1:3" x14ac:dyDescent="0.3">
      <c r="A80" s="108">
        <v>79</v>
      </c>
      <c r="B80" s="109"/>
      <c r="C80" s="110"/>
    </row>
    <row r="81" spans="1:3" x14ac:dyDescent="0.3">
      <c r="A81" s="108">
        <v>80</v>
      </c>
      <c r="B81" s="109"/>
      <c r="C81" s="110"/>
    </row>
    <row r="82" spans="1:3" x14ac:dyDescent="0.3">
      <c r="A82" s="108">
        <v>81</v>
      </c>
      <c r="B82" s="109"/>
      <c r="C82" s="110"/>
    </row>
    <row r="83" spans="1:3" x14ac:dyDescent="0.3">
      <c r="A83" s="108">
        <v>82</v>
      </c>
      <c r="B83" s="109"/>
      <c r="C83" s="110"/>
    </row>
    <row r="84" spans="1:3" x14ac:dyDescent="0.3">
      <c r="A84" s="108">
        <v>83</v>
      </c>
      <c r="B84" s="109"/>
      <c r="C84" s="110"/>
    </row>
    <row r="85" spans="1:3" x14ac:dyDescent="0.3">
      <c r="A85" s="108">
        <v>84</v>
      </c>
      <c r="B85" s="109"/>
      <c r="C85" s="110"/>
    </row>
    <row r="86" spans="1:3" x14ac:dyDescent="0.3">
      <c r="A86" s="108">
        <v>85</v>
      </c>
      <c r="B86" s="109"/>
      <c r="C86" s="110"/>
    </row>
    <row r="87" spans="1:3" x14ac:dyDescent="0.3">
      <c r="A87" s="108">
        <v>86</v>
      </c>
      <c r="B87" s="109"/>
      <c r="C87" s="110"/>
    </row>
    <row r="88" spans="1:3" x14ac:dyDescent="0.3">
      <c r="A88" s="108">
        <v>87</v>
      </c>
      <c r="B88" s="109"/>
      <c r="C88" s="110"/>
    </row>
    <row r="89" spans="1:3" x14ac:dyDescent="0.3">
      <c r="A89" s="108">
        <v>88</v>
      </c>
      <c r="B89" s="109"/>
      <c r="C89" s="110"/>
    </row>
    <row r="90" spans="1:3" x14ac:dyDescent="0.3">
      <c r="A90" s="108">
        <v>89</v>
      </c>
      <c r="B90" s="109"/>
      <c r="C90" s="110"/>
    </row>
    <row r="91" spans="1:3" x14ac:dyDescent="0.3">
      <c r="A91" s="108">
        <v>90</v>
      </c>
      <c r="B91" s="109"/>
      <c r="C91" s="110"/>
    </row>
    <row r="92" spans="1:3" x14ac:dyDescent="0.3">
      <c r="A92" s="108">
        <v>91</v>
      </c>
      <c r="B92" s="109"/>
      <c r="C92" s="110"/>
    </row>
    <row r="93" spans="1:3" x14ac:dyDescent="0.3">
      <c r="A93" s="108">
        <v>92</v>
      </c>
      <c r="B93" s="109"/>
      <c r="C93" s="110"/>
    </row>
    <row r="94" spans="1:3" x14ac:dyDescent="0.3">
      <c r="A94" s="108">
        <v>93</v>
      </c>
      <c r="B94" s="109"/>
      <c r="C94" s="110"/>
    </row>
    <row r="95" spans="1:3" x14ac:dyDescent="0.3">
      <c r="A95" s="108">
        <v>94</v>
      </c>
      <c r="B95" s="109"/>
      <c r="C95" s="110"/>
    </row>
    <row r="96" spans="1:3" x14ac:dyDescent="0.3">
      <c r="A96" s="108">
        <v>95</v>
      </c>
      <c r="B96" s="109"/>
      <c r="C96" s="110"/>
    </row>
    <row r="97" spans="1:3" x14ac:dyDescent="0.3">
      <c r="A97" s="108">
        <v>96</v>
      </c>
      <c r="B97" s="109"/>
      <c r="C97" s="110"/>
    </row>
    <row r="98" spans="1:3" x14ac:dyDescent="0.3">
      <c r="A98" s="108">
        <v>97</v>
      </c>
      <c r="B98" s="109"/>
      <c r="C98" s="110"/>
    </row>
    <row r="99" spans="1:3" x14ac:dyDescent="0.3">
      <c r="A99" s="108">
        <v>98</v>
      </c>
      <c r="B99" s="109"/>
      <c r="C99" s="110"/>
    </row>
    <row r="100" spans="1:3" x14ac:dyDescent="0.3">
      <c r="A100" s="108">
        <v>99</v>
      </c>
      <c r="B100" s="109"/>
      <c r="C100" s="110"/>
    </row>
    <row r="101" spans="1:3" x14ac:dyDescent="0.3">
      <c r="A101" s="108">
        <v>100</v>
      </c>
      <c r="B101" s="109"/>
      <c r="C101" s="110"/>
    </row>
    <row r="102" spans="1:3" x14ac:dyDescent="0.3">
      <c r="A102" s="108">
        <v>101</v>
      </c>
      <c r="B102" s="109"/>
      <c r="C102" s="110"/>
    </row>
    <row r="103" spans="1:3" x14ac:dyDescent="0.3">
      <c r="A103" s="108">
        <v>102</v>
      </c>
      <c r="B103" s="109"/>
      <c r="C103" s="110"/>
    </row>
    <row r="104" spans="1:3" x14ac:dyDescent="0.3">
      <c r="A104" s="108">
        <v>103</v>
      </c>
      <c r="B104" s="109"/>
      <c r="C104" s="110"/>
    </row>
    <row r="105" spans="1:3" x14ac:dyDescent="0.3">
      <c r="A105" s="108">
        <v>104</v>
      </c>
      <c r="B105" s="109"/>
      <c r="C105" s="110"/>
    </row>
    <row r="106" spans="1:3" x14ac:dyDescent="0.3">
      <c r="A106" s="108">
        <v>105</v>
      </c>
      <c r="B106" s="109"/>
      <c r="C106" s="110"/>
    </row>
    <row r="107" spans="1:3" x14ac:dyDescent="0.3">
      <c r="A107" s="108">
        <v>106</v>
      </c>
      <c r="B107" s="109"/>
      <c r="C107" s="110"/>
    </row>
    <row r="108" spans="1:3" x14ac:dyDescent="0.3">
      <c r="A108" s="108">
        <v>107</v>
      </c>
      <c r="B108" s="109"/>
      <c r="C108" s="110"/>
    </row>
    <row r="109" spans="1:3" x14ac:dyDescent="0.3">
      <c r="A109" s="108">
        <v>108</v>
      </c>
      <c r="B109" s="109"/>
      <c r="C109" s="110"/>
    </row>
    <row r="110" spans="1:3" x14ac:dyDescent="0.3">
      <c r="A110" s="108">
        <v>109</v>
      </c>
      <c r="B110" s="109"/>
      <c r="C110" s="110"/>
    </row>
    <row r="111" spans="1:3" x14ac:dyDescent="0.3">
      <c r="A111" s="108">
        <v>110</v>
      </c>
      <c r="B111" s="109"/>
      <c r="C111" s="110"/>
    </row>
    <row r="112" spans="1:3" x14ac:dyDescent="0.3">
      <c r="A112" s="108">
        <v>111</v>
      </c>
      <c r="B112" s="109"/>
      <c r="C112" s="110"/>
    </row>
    <row r="113" spans="1:3" x14ac:dyDescent="0.3">
      <c r="A113" s="108">
        <v>112</v>
      </c>
      <c r="B113" s="109"/>
      <c r="C113" s="110"/>
    </row>
    <row r="114" spans="1:3" x14ac:dyDescent="0.3">
      <c r="A114" s="108">
        <v>113</v>
      </c>
      <c r="B114" s="109"/>
      <c r="C114" s="110"/>
    </row>
    <row r="115" spans="1:3" x14ac:dyDescent="0.3">
      <c r="A115" s="108">
        <v>114</v>
      </c>
      <c r="B115" s="109"/>
      <c r="C115" s="110"/>
    </row>
    <row r="116" spans="1:3" x14ac:dyDescent="0.3">
      <c r="A116" s="108">
        <v>115</v>
      </c>
      <c r="B116" s="109"/>
      <c r="C116" s="110"/>
    </row>
    <row r="117" spans="1:3" x14ac:dyDescent="0.3">
      <c r="A117" s="108">
        <v>116</v>
      </c>
      <c r="B117" s="109"/>
      <c r="C117" s="110"/>
    </row>
    <row r="118" spans="1:3" x14ac:dyDescent="0.3">
      <c r="A118" s="108">
        <v>117</v>
      </c>
      <c r="B118" s="109"/>
      <c r="C118" s="110"/>
    </row>
    <row r="119" spans="1:3" x14ac:dyDescent="0.3">
      <c r="A119" s="108">
        <v>118</v>
      </c>
      <c r="B119" s="109"/>
      <c r="C119" s="110"/>
    </row>
    <row r="120" spans="1:3" x14ac:dyDescent="0.3">
      <c r="A120" s="108">
        <v>119</v>
      </c>
      <c r="B120" s="109"/>
      <c r="C120" s="110"/>
    </row>
    <row r="121" spans="1:3" x14ac:dyDescent="0.3">
      <c r="A121" s="108">
        <v>120</v>
      </c>
      <c r="B121" s="109"/>
      <c r="C121" s="110"/>
    </row>
    <row r="122" spans="1:3" x14ac:dyDescent="0.3">
      <c r="A122" s="108">
        <v>121</v>
      </c>
      <c r="B122" s="109"/>
      <c r="C122" s="110"/>
    </row>
    <row r="123" spans="1:3" x14ac:dyDescent="0.3">
      <c r="A123" s="108">
        <v>122</v>
      </c>
      <c r="B123" s="109"/>
      <c r="C123" s="110"/>
    </row>
    <row r="124" spans="1:3" x14ac:dyDescent="0.3">
      <c r="A124" s="108">
        <v>123</v>
      </c>
      <c r="B124" s="109"/>
      <c r="C124" s="110"/>
    </row>
    <row r="125" spans="1:3" x14ac:dyDescent="0.3">
      <c r="A125" s="108">
        <v>124</v>
      </c>
      <c r="B125" s="109"/>
      <c r="C125" s="110"/>
    </row>
    <row r="126" spans="1:3" x14ac:dyDescent="0.3">
      <c r="A126" s="108">
        <v>125</v>
      </c>
      <c r="B126" s="109"/>
      <c r="C126" s="110"/>
    </row>
    <row r="127" spans="1:3" x14ac:dyDescent="0.3">
      <c r="A127" s="108">
        <v>126</v>
      </c>
      <c r="B127" s="109"/>
      <c r="C127" s="110"/>
    </row>
    <row r="128" spans="1:3" x14ac:dyDescent="0.3">
      <c r="A128" s="108">
        <v>127</v>
      </c>
      <c r="B128" s="109"/>
      <c r="C128" s="110"/>
    </row>
    <row r="129" spans="1:3" x14ac:dyDescent="0.3">
      <c r="A129" s="108">
        <v>128</v>
      </c>
      <c r="B129" s="109"/>
      <c r="C129" s="110"/>
    </row>
    <row r="130" spans="1:3" x14ac:dyDescent="0.3">
      <c r="A130" s="108">
        <v>129</v>
      </c>
      <c r="B130" s="109"/>
      <c r="C130" s="110"/>
    </row>
    <row r="131" spans="1:3" ht="15" thickBot="1" x14ac:dyDescent="0.35">
      <c r="A131" s="111">
        <v>130</v>
      </c>
      <c r="B131" s="112"/>
      <c r="C131" s="1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8C9F-CEC1-4920-ADAC-F41A19569F0A}">
  <dimension ref="A1:M112"/>
  <sheetViews>
    <sheetView showGridLines="0" tabSelected="1" topLeftCell="A11" zoomScale="70" zoomScaleNormal="70" zoomScaleSheetLayoutView="85" workbookViewId="0">
      <selection activeCell="H23" sqref="H23"/>
    </sheetView>
  </sheetViews>
  <sheetFormatPr defaultColWidth="9.33203125" defaultRowHeight="14.4" x14ac:dyDescent="0.3"/>
  <cols>
    <col min="1" max="1" width="7.33203125" style="4" bestFit="1" customWidth="1"/>
    <col min="2" max="2" width="11.33203125" style="4" bestFit="1" customWidth="1"/>
    <col min="3" max="3" width="14.33203125" style="4" customWidth="1"/>
    <col min="4" max="4" width="9.33203125" style="4" bestFit="1" customWidth="1"/>
    <col min="5" max="6" width="7.88671875" style="4" bestFit="1" customWidth="1"/>
    <col min="7" max="11" width="10.33203125" style="4" customWidth="1"/>
    <col min="12" max="12" width="15" style="4" customWidth="1"/>
    <col min="13" max="13" width="14.109375" style="4" customWidth="1"/>
    <col min="14" max="16384" width="9.33203125" style="4"/>
  </cols>
  <sheetData>
    <row r="1" spans="1:13" ht="72.599999999999994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" thickBot="1" x14ac:dyDescent="0.3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x14ac:dyDescent="0.3">
      <c r="A3" s="8" t="s">
        <v>2</v>
      </c>
      <c r="B3" s="9"/>
      <c r="C3" s="10" t="s">
        <v>3</v>
      </c>
      <c r="D3" s="11"/>
      <c r="E3" s="11"/>
      <c r="F3" s="11"/>
      <c r="G3" s="11"/>
      <c r="H3" s="11"/>
      <c r="I3" s="12"/>
      <c r="J3" s="13" t="s">
        <v>4</v>
      </c>
      <c r="K3" s="13"/>
      <c r="L3" s="10"/>
      <c r="M3" s="12"/>
    </row>
    <row r="4" spans="1:13" x14ac:dyDescent="0.3">
      <c r="A4" s="14" t="s">
        <v>5</v>
      </c>
      <c r="B4" s="15"/>
      <c r="C4" s="16" t="s">
        <v>6</v>
      </c>
      <c r="D4" s="17"/>
      <c r="E4" s="17"/>
      <c r="F4" s="17"/>
      <c r="G4" s="17"/>
      <c r="H4" s="17"/>
      <c r="I4" s="18"/>
      <c r="J4" s="19" t="s">
        <v>7</v>
      </c>
      <c r="K4" s="19"/>
      <c r="L4" s="16"/>
      <c r="M4" s="18"/>
    </row>
    <row r="5" spans="1:13" ht="15" thickBot="1" x14ac:dyDescent="0.35">
      <c r="A5" s="20" t="s">
        <v>8</v>
      </c>
      <c r="B5" s="21"/>
      <c r="C5" s="22" t="s">
        <v>9</v>
      </c>
      <c r="D5" s="23"/>
      <c r="E5" s="23"/>
      <c r="F5" s="23"/>
      <c r="G5" s="23"/>
      <c r="H5" s="23"/>
      <c r="I5" s="24"/>
      <c r="J5" s="25" t="s">
        <v>10</v>
      </c>
      <c r="K5" s="25"/>
      <c r="L5" s="22"/>
      <c r="M5" s="24"/>
    </row>
    <row r="6" spans="1:13" ht="15" customHeight="1" thickBot="1" x14ac:dyDescent="0.35">
      <c r="A6" s="26" t="s">
        <v>11</v>
      </c>
      <c r="B6" s="27" t="s">
        <v>12</v>
      </c>
      <c r="C6" s="28" t="s">
        <v>13</v>
      </c>
      <c r="D6" s="26" t="s">
        <v>14</v>
      </c>
      <c r="E6" s="29"/>
      <c r="F6" s="29"/>
      <c r="G6" s="29"/>
      <c r="H6" s="29"/>
      <c r="I6" s="29"/>
      <c r="J6" s="29"/>
      <c r="K6" s="30"/>
      <c r="L6" s="31" t="s">
        <v>15</v>
      </c>
      <c r="M6" s="27" t="s">
        <v>16</v>
      </c>
    </row>
    <row r="7" spans="1:13" ht="15" thickBot="1" x14ac:dyDescent="0.35">
      <c r="A7" s="32"/>
      <c r="B7" s="33"/>
      <c r="C7" s="34"/>
      <c r="D7" s="35" t="s">
        <v>17</v>
      </c>
      <c r="E7" s="35" t="s">
        <v>18</v>
      </c>
      <c r="F7" s="36" t="s">
        <v>19</v>
      </c>
      <c r="G7" s="37" t="s">
        <v>20</v>
      </c>
      <c r="H7" s="37" t="s">
        <v>21</v>
      </c>
      <c r="I7" s="37" t="s">
        <v>22</v>
      </c>
      <c r="J7" s="37" t="s">
        <v>23</v>
      </c>
      <c r="K7" s="37" t="s">
        <v>24</v>
      </c>
      <c r="L7" s="38"/>
      <c r="M7" s="33"/>
    </row>
    <row r="8" spans="1:13" x14ac:dyDescent="0.3">
      <c r="A8" s="39">
        <v>1</v>
      </c>
      <c r="B8" s="40" t="s">
        <v>25</v>
      </c>
      <c r="C8" s="41" t="s">
        <v>26</v>
      </c>
      <c r="D8" s="42"/>
      <c r="E8" s="43">
        <f>2065-2</f>
        <v>2063</v>
      </c>
      <c r="F8" s="43">
        <f>2065+2</f>
        <v>2067</v>
      </c>
      <c r="G8" s="44"/>
      <c r="H8" s="44"/>
      <c r="I8" s="44"/>
      <c r="J8" s="44"/>
      <c r="K8" s="44"/>
      <c r="L8" s="45"/>
      <c r="M8" s="46"/>
    </row>
    <row r="9" spans="1:13" x14ac:dyDescent="0.3">
      <c r="A9" s="47">
        <v>2</v>
      </c>
      <c r="B9" s="48" t="s">
        <v>27</v>
      </c>
      <c r="C9" s="49" t="s">
        <v>28</v>
      </c>
      <c r="D9" s="42"/>
      <c r="E9" s="43">
        <f>1032.5-1.2</f>
        <v>1031.3</v>
      </c>
      <c r="F9" s="43">
        <f>1032.5+1.2</f>
        <v>1033.7</v>
      </c>
      <c r="G9" s="44"/>
      <c r="H9" s="44"/>
      <c r="I9" s="44"/>
      <c r="J9" s="44"/>
      <c r="K9" s="44"/>
      <c r="L9" s="45"/>
      <c r="M9" s="46"/>
    </row>
    <row r="10" spans="1:13" x14ac:dyDescent="0.3">
      <c r="A10" s="47">
        <v>3</v>
      </c>
      <c r="B10" s="50">
        <v>10</v>
      </c>
      <c r="C10" s="51"/>
      <c r="D10" s="42"/>
      <c r="E10" s="43">
        <v>1</v>
      </c>
      <c r="F10" s="43">
        <v>3</v>
      </c>
      <c r="G10" s="44"/>
      <c r="H10" s="44"/>
      <c r="I10" s="44"/>
      <c r="J10" s="44"/>
      <c r="K10" s="44"/>
      <c r="L10" s="45"/>
      <c r="M10" s="46"/>
    </row>
    <row r="11" spans="1:13" x14ac:dyDescent="0.3">
      <c r="A11" s="47">
        <v>4</v>
      </c>
      <c r="B11" s="52">
        <v>178</v>
      </c>
      <c r="C11" s="53" t="s">
        <v>29</v>
      </c>
      <c r="D11" s="42"/>
      <c r="E11" s="54">
        <f>B11-3</f>
        <v>175</v>
      </c>
      <c r="F11" s="54">
        <f>B11+3</f>
        <v>181</v>
      </c>
      <c r="G11" s="44"/>
      <c r="H11" s="44"/>
      <c r="I11" s="44"/>
      <c r="J11" s="44"/>
      <c r="K11" s="44"/>
      <c r="L11" s="45"/>
      <c r="M11" s="46"/>
    </row>
    <row r="12" spans="1:13" ht="15.6" x14ac:dyDescent="0.3">
      <c r="A12" s="47">
        <v>5</v>
      </c>
      <c r="B12" s="52" t="s">
        <v>30</v>
      </c>
      <c r="C12" s="55" t="s">
        <v>31</v>
      </c>
      <c r="D12" s="42" t="s">
        <v>30</v>
      </c>
      <c r="E12" s="43"/>
      <c r="F12" s="43"/>
      <c r="G12" s="44"/>
      <c r="H12" s="44"/>
      <c r="I12" s="44"/>
      <c r="J12" s="44"/>
      <c r="K12" s="44"/>
      <c r="L12" s="45"/>
      <c r="M12" s="46"/>
    </row>
    <row r="13" spans="1:13" x14ac:dyDescent="0.3">
      <c r="A13" s="47">
        <v>6</v>
      </c>
      <c r="B13" s="52">
        <v>448</v>
      </c>
      <c r="C13" s="49" t="s">
        <v>32</v>
      </c>
      <c r="D13" s="42"/>
      <c r="E13" s="56">
        <f>B13-1.5</f>
        <v>446.5</v>
      </c>
      <c r="F13" s="56">
        <f>B13+1.5</f>
        <v>449.5</v>
      </c>
      <c r="G13" s="44"/>
      <c r="H13" s="44"/>
      <c r="I13" s="44"/>
      <c r="J13" s="44"/>
      <c r="K13" s="44"/>
      <c r="L13" s="45"/>
      <c r="M13" s="46"/>
    </row>
    <row r="14" spans="1:13" x14ac:dyDescent="0.3">
      <c r="A14" s="47">
        <v>7</v>
      </c>
      <c r="B14" s="52">
        <v>457</v>
      </c>
      <c r="C14" s="49" t="s">
        <v>32</v>
      </c>
      <c r="D14" s="42"/>
      <c r="E14" s="57">
        <f>B14-1.5</f>
        <v>455.5</v>
      </c>
      <c r="F14" s="54">
        <f>B14+1.5</f>
        <v>458.5</v>
      </c>
      <c r="G14" s="44"/>
      <c r="H14" s="44"/>
      <c r="I14" s="44"/>
      <c r="J14" s="44"/>
      <c r="K14" s="44"/>
      <c r="L14" s="45"/>
      <c r="M14" s="46"/>
    </row>
    <row r="15" spans="1:13" x14ac:dyDescent="0.3">
      <c r="A15" s="47">
        <v>8</v>
      </c>
      <c r="B15" s="58">
        <v>52.5</v>
      </c>
      <c r="C15" s="49" t="s">
        <v>33</v>
      </c>
      <c r="D15" s="42"/>
      <c r="E15" s="56">
        <f>B15-0.3</f>
        <v>52.2</v>
      </c>
      <c r="F15" s="56">
        <f>B15+0.3</f>
        <v>52.8</v>
      </c>
      <c r="G15" s="44"/>
      <c r="H15" s="44"/>
      <c r="I15" s="44"/>
      <c r="J15" s="44"/>
      <c r="K15" s="44"/>
      <c r="L15" s="45"/>
      <c r="M15" s="46"/>
    </row>
    <row r="16" spans="1:13" x14ac:dyDescent="0.3">
      <c r="A16" s="47">
        <v>9</v>
      </c>
      <c r="B16" s="52">
        <v>140</v>
      </c>
      <c r="C16" s="49" t="s">
        <v>34</v>
      </c>
      <c r="D16" s="42"/>
      <c r="E16" s="56">
        <f>B16-0.5</f>
        <v>139.5</v>
      </c>
      <c r="F16" s="56">
        <f>B16+0.5</f>
        <v>140.5</v>
      </c>
      <c r="G16" s="44"/>
      <c r="H16" s="44"/>
      <c r="I16" s="44"/>
      <c r="J16" s="44"/>
      <c r="K16" s="44"/>
      <c r="L16" s="45"/>
      <c r="M16" s="46"/>
    </row>
    <row r="17" spans="1:13" x14ac:dyDescent="0.3">
      <c r="A17" s="47">
        <v>10</v>
      </c>
      <c r="B17" s="52">
        <v>280</v>
      </c>
      <c r="C17" s="49" t="s">
        <v>34</v>
      </c>
      <c r="D17" s="42"/>
      <c r="E17" s="56">
        <f>B17-0.5</f>
        <v>279.5</v>
      </c>
      <c r="F17" s="56">
        <f>B17+0.5</f>
        <v>280.5</v>
      </c>
      <c r="G17" s="44"/>
      <c r="H17" s="44"/>
      <c r="I17" s="44"/>
      <c r="J17" s="44"/>
      <c r="K17" s="44"/>
      <c r="L17" s="45"/>
      <c r="M17" s="46"/>
    </row>
    <row r="18" spans="1:13" x14ac:dyDescent="0.3">
      <c r="A18" s="47">
        <v>11</v>
      </c>
      <c r="B18" s="52">
        <v>420</v>
      </c>
      <c r="C18" s="49" t="s">
        <v>35</v>
      </c>
      <c r="D18" s="42"/>
      <c r="E18" s="56">
        <f>B18-0.8</f>
        <v>419.2</v>
      </c>
      <c r="F18" s="56">
        <f>B18+0.8</f>
        <v>420.8</v>
      </c>
      <c r="G18" s="44"/>
      <c r="H18" s="44"/>
      <c r="I18" s="44"/>
      <c r="J18" s="44"/>
      <c r="K18" s="44"/>
      <c r="L18" s="45"/>
      <c r="M18" s="46"/>
    </row>
    <row r="19" spans="1:13" x14ac:dyDescent="0.3">
      <c r="A19" s="47">
        <v>12</v>
      </c>
      <c r="B19" s="52">
        <v>560</v>
      </c>
      <c r="C19" s="49" t="s">
        <v>35</v>
      </c>
      <c r="D19" s="42"/>
      <c r="E19" s="56">
        <f>B19-0.8</f>
        <v>559.20000000000005</v>
      </c>
      <c r="F19" s="56">
        <f>B19+0.8</f>
        <v>560.79999999999995</v>
      </c>
      <c r="G19" s="44"/>
      <c r="H19" s="44"/>
      <c r="I19" s="44"/>
      <c r="J19" s="44"/>
      <c r="K19" s="44"/>
      <c r="L19" s="45"/>
      <c r="M19" s="46"/>
    </row>
    <row r="20" spans="1:13" x14ac:dyDescent="0.3">
      <c r="A20" s="47">
        <v>13</v>
      </c>
      <c r="B20" s="52">
        <v>700</v>
      </c>
      <c r="C20" s="49" t="s">
        <v>35</v>
      </c>
      <c r="D20" s="42"/>
      <c r="E20" s="56">
        <f>B20-0.8</f>
        <v>699.2</v>
      </c>
      <c r="F20" s="56">
        <f>B20+0.8</f>
        <v>700.8</v>
      </c>
      <c r="G20" s="44"/>
      <c r="H20" s="44"/>
      <c r="I20" s="44"/>
      <c r="J20" s="44"/>
      <c r="K20" s="44"/>
      <c r="L20" s="45"/>
      <c r="M20" s="46"/>
    </row>
    <row r="21" spans="1:13" x14ac:dyDescent="0.3">
      <c r="A21" s="47">
        <v>14</v>
      </c>
      <c r="B21" s="52">
        <v>840</v>
      </c>
      <c r="C21" s="49" t="s">
        <v>35</v>
      </c>
      <c r="D21" s="42"/>
      <c r="E21" s="56">
        <f>B21-0.8</f>
        <v>839.2</v>
      </c>
      <c r="F21" s="56">
        <f>B21+0.8</f>
        <v>840.8</v>
      </c>
      <c r="G21" s="44"/>
      <c r="H21" s="44"/>
      <c r="I21" s="44"/>
      <c r="J21" s="44"/>
      <c r="K21" s="44"/>
      <c r="L21" s="45"/>
      <c r="M21" s="46"/>
    </row>
    <row r="22" spans="1:13" x14ac:dyDescent="0.3">
      <c r="A22" s="47">
        <v>15</v>
      </c>
      <c r="B22" s="52">
        <v>980</v>
      </c>
      <c r="C22" s="49" t="s">
        <v>35</v>
      </c>
      <c r="D22" s="42"/>
      <c r="E22" s="56">
        <f>B22-0.8</f>
        <v>979.2</v>
      </c>
      <c r="F22" s="56">
        <f>B22+0.8</f>
        <v>980.8</v>
      </c>
      <c r="G22" s="44"/>
      <c r="H22" s="44"/>
      <c r="I22" s="44"/>
      <c r="J22" s="44"/>
      <c r="K22" s="44"/>
      <c r="L22" s="45"/>
      <c r="M22" s="46"/>
    </row>
    <row r="23" spans="1:13" x14ac:dyDescent="0.3">
      <c r="A23" s="47">
        <v>16</v>
      </c>
      <c r="B23" s="52">
        <v>1120</v>
      </c>
      <c r="C23" s="49" t="s">
        <v>28</v>
      </c>
      <c r="D23" s="42"/>
      <c r="E23" s="56">
        <f t="shared" ref="E23:E29" si="0">B23-1.2</f>
        <v>1118.8</v>
      </c>
      <c r="F23" s="56">
        <f t="shared" ref="F23:F29" si="1">B23+1.2</f>
        <v>1121.2</v>
      </c>
      <c r="G23" s="44"/>
      <c r="H23" s="44"/>
      <c r="I23" s="44"/>
      <c r="J23" s="44"/>
      <c r="K23" s="44"/>
      <c r="L23" s="45"/>
      <c r="M23" s="46"/>
    </row>
    <row r="24" spans="1:13" x14ac:dyDescent="0.3">
      <c r="A24" s="47">
        <v>17</v>
      </c>
      <c r="B24" s="59">
        <v>1260</v>
      </c>
      <c r="C24" s="49" t="s">
        <v>28</v>
      </c>
      <c r="D24" s="42"/>
      <c r="E24" s="43">
        <f t="shared" si="0"/>
        <v>1258.8</v>
      </c>
      <c r="F24" s="43">
        <f t="shared" si="1"/>
        <v>1261.2</v>
      </c>
      <c r="G24" s="44"/>
      <c r="H24" s="44"/>
      <c r="I24" s="44"/>
      <c r="J24" s="44"/>
      <c r="K24" s="44"/>
      <c r="L24" s="45"/>
      <c r="M24" s="46"/>
    </row>
    <row r="25" spans="1:13" x14ac:dyDescent="0.3">
      <c r="A25" s="47">
        <v>18</v>
      </c>
      <c r="B25" s="52">
        <v>1400</v>
      </c>
      <c r="C25" s="49" t="s">
        <v>28</v>
      </c>
      <c r="D25" s="42"/>
      <c r="E25" s="56">
        <f t="shared" si="0"/>
        <v>1398.8</v>
      </c>
      <c r="F25" s="56">
        <f t="shared" si="1"/>
        <v>1401.2</v>
      </c>
      <c r="G25" s="44"/>
      <c r="H25" s="44"/>
      <c r="I25" s="44"/>
      <c r="J25" s="44"/>
      <c r="K25" s="44"/>
      <c r="L25" s="45"/>
      <c r="M25" s="46"/>
    </row>
    <row r="26" spans="1:13" x14ac:dyDescent="0.3">
      <c r="A26" s="47">
        <v>19</v>
      </c>
      <c r="B26" s="52">
        <v>1540</v>
      </c>
      <c r="C26" s="49" t="s">
        <v>28</v>
      </c>
      <c r="D26" s="42"/>
      <c r="E26" s="56">
        <f t="shared" si="0"/>
        <v>1538.8</v>
      </c>
      <c r="F26" s="56">
        <f t="shared" si="1"/>
        <v>1541.2</v>
      </c>
      <c r="G26" s="44"/>
      <c r="H26" s="44"/>
      <c r="I26" s="44"/>
      <c r="J26" s="44"/>
      <c r="K26" s="44"/>
      <c r="L26" s="45"/>
      <c r="M26" s="46"/>
    </row>
    <row r="27" spans="1:13" x14ac:dyDescent="0.3">
      <c r="A27" s="47">
        <v>20</v>
      </c>
      <c r="B27" s="52">
        <v>1680</v>
      </c>
      <c r="C27" s="49" t="s">
        <v>28</v>
      </c>
      <c r="D27" s="42"/>
      <c r="E27" s="56">
        <f t="shared" si="0"/>
        <v>1678.8</v>
      </c>
      <c r="F27" s="56">
        <f t="shared" si="1"/>
        <v>1681.2</v>
      </c>
      <c r="G27" s="44"/>
      <c r="H27" s="44"/>
      <c r="I27" s="44"/>
      <c r="J27" s="44"/>
      <c r="K27" s="44"/>
      <c r="L27" s="45"/>
      <c r="M27" s="46"/>
    </row>
    <row r="28" spans="1:13" x14ac:dyDescent="0.3">
      <c r="A28" s="47">
        <v>21</v>
      </c>
      <c r="B28" s="52">
        <v>1820</v>
      </c>
      <c r="C28" s="49" t="s">
        <v>28</v>
      </c>
      <c r="D28" s="42"/>
      <c r="E28" s="56">
        <f t="shared" si="0"/>
        <v>1818.8</v>
      </c>
      <c r="F28" s="56">
        <f t="shared" si="1"/>
        <v>1821.2</v>
      </c>
      <c r="G28" s="44"/>
      <c r="H28" s="44"/>
      <c r="I28" s="44"/>
      <c r="J28" s="44"/>
      <c r="K28" s="44"/>
      <c r="L28" s="45"/>
      <c r="M28" s="46"/>
    </row>
    <row r="29" spans="1:13" x14ac:dyDescent="0.3">
      <c r="A29" s="47">
        <v>22</v>
      </c>
      <c r="B29" s="52">
        <v>1960</v>
      </c>
      <c r="C29" s="49" t="s">
        <v>28</v>
      </c>
      <c r="D29" s="42"/>
      <c r="E29" s="56">
        <f t="shared" si="0"/>
        <v>1958.8</v>
      </c>
      <c r="F29" s="56">
        <f t="shared" si="1"/>
        <v>1961.2</v>
      </c>
      <c r="G29" s="44"/>
      <c r="H29" s="44"/>
      <c r="I29" s="44"/>
      <c r="J29" s="44"/>
      <c r="K29" s="44"/>
      <c r="L29" s="45"/>
      <c r="M29" s="46"/>
    </row>
    <row r="30" spans="1:13" x14ac:dyDescent="0.3">
      <c r="A30" s="47">
        <v>23</v>
      </c>
      <c r="B30" s="48" t="s">
        <v>36</v>
      </c>
      <c r="C30" s="49" t="s">
        <v>34</v>
      </c>
      <c r="D30" s="42"/>
      <c r="E30" s="43">
        <f>136.5-0.5</f>
        <v>136</v>
      </c>
      <c r="F30" s="43">
        <f>136.5+0.5</f>
        <v>137</v>
      </c>
      <c r="G30" s="44"/>
      <c r="H30" s="44"/>
      <c r="I30" s="44"/>
      <c r="J30" s="44"/>
      <c r="K30" s="44"/>
      <c r="L30" s="45"/>
      <c r="M30" s="46"/>
    </row>
    <row r="31" spans="1:13" x14ac:dyDescent="0.3">
      <c r="A31" s="47">
        <v>24</v>
      </c>
      <c r="B31" s="52">
        <v>1346</v>
      </c>
      <c r="C31" s="49" t="s">
        <v>26</v>
      </c>
      <c r="D31" s="42"/>
      <c r="E31" s="54">
        <f>B31-2</f>
        <v>1344</v>
      </c>
      <c r="F31" s="54">
        <f>B31+2</f>
        <v>1348</v>
      </c>
      <c r="G31" s="44"/>
      <c r="H31" s="44"/>
      <c r="I31" s="44"/>
      <c r="J31" s="44"/>
      <c r="K31" s="44"/>
      <c r="L31" s="45"/>
      <c r="M31" s="46"/>
    </row>
    <row r="32" spans="1:13" x14ac:dyDescent="0.3">
      <c r="A32" s="47">
        <v>25</v>
      </c>
      <c r="B32" s="58">
        <v>52.5</v>
      </c>
      <c r="C32" s="49" t="s">
        <v>33</v>
      </c>
      <c r="D32" s="42"/>
      <c r="E32" s="56">
        <f>B32-0.3</f>
        <v>52.2</v>
      </c>
      <c r="F32" s="56">
        <f>B32+0.3</f>
        <v>52.8</v>
      </c>
      <c r="G32" s="44"/>
      <c r="H32" s="44"/>
      <c r="I32" s="44"/>
      <c r="J32" s="44"/>
      <c r="K32" s="44"/>
      <c r="L32" s="45"/>
      <c r="M32" s="46"/>
    </row>
    <row r="33" spans="1:13" x14ac:dyDescent="0.3">
      <c r="A33" s="47">
        <v>26</v>
      </c>
      <c r="B33" s="52">
        <v>250</v>
      </c>
      <c r="C33" s="49" t="s">
        <v>34</v>
      </c>
      <c r="D33" s="42"/>
      <c r="E33" s="56">
        <f>B33-0.5</f>
        <v>249.5</v>
      </c>
      <c r="F33" s="56">
        <f>B33+0.5</f>
        <v>250.5</v>
      </c>
      <c r="G33" s="44"/>
      <c r="H33" s="44"/>
      <c r="I33" s="44"/>
      <c r="J33" s="44"/>
      <c r="K33" s="44"/>
      <c r="L33" s="45"/>
      <c r="M33" s="46"/>
    </row>
    <row r="34" spans="1:13" x14ac:dyDescent="0.3">
      <c r="A34" s="47">
        <v>27</v>
      </c>
      <c r="B34" s="52">
        <v>280</v>
      </c>
      <c r="C34" s="49" t="s">
        <v>34</v>
      </c>
      <c r="D34" s="42"/>
      <c r="E34" s="56">
        <f>B34-0.5</f>
        <v>279.5</v>
      </c>
      <c r="F34" s="56">
        <f>B34+0.5</f>
        <v>280.5</v>
      </c>
      <c r="G34" s="44"/>
      <c r="H34" s="44"/>
      <c r="I34" s="44"/>
      <c r="J34" s="44"/>
      <c r="K34" s="44"/>
      <c r="L34" s="45"/>
      <c r="M34" s="46"/>
    </row>
    <row r="35" spans="1:13" x14ac:dyDescent="0.3">
      <c r="A35" s="47">
        <v>28</v>
      </c>
      <c r="B35" s="52">
        <v>420</v>
      </c>
      <c r="C35" s="49" t="s">
        <v>35</v>
      </c>
      <c r="D35" s="42"/>
      <c r="E35" s="56">
        <f>B35-0.8</f>
        <v>419.2</v>
      </c>
      <c r="F35" s="56">
        <f>B35+0.8</f>
        <v>420.8</v>
      </c>
      <c r="G35" s="44"/>
      <c r="H35" s="44"/>
      <c r="I35" s="44"/>
      <c r="J35" s="44"/>
      <c r="K35" s="44"/>
      <c r="L35" s="45"/>
      <c r="M35" s="46"/>
    </row>
    <row r="36" spans="1:13" x14ac:dyDescent="0.3">
      <c r="A36" s="47">
        <v>29</v>
      </c>
      <c r="B36" s="52">
        <v>560</v>
      </c>
      <c r="C36" s="49" t="s">
        <v>35</v>
      </c>
      <c r="D36" s="42"/>
      <c r="E36" s="54">
        <f>B36-0.8</f>
        <v>559.20000000000005</v>
      </c>
      <c r="F36" s="56">
        <f>B36+0.8</f>
        <v>560.79999999999995</v>
      </c>
      <c r="G36" s="44"/>
      <c r="H36" s="44"/>
      <c r="I36" s="44"/>
      <c r="J36" s="44"/>
      <c r="K36" s="44"/>
      <c r="L36" s="45"/>
      <c r="M36" s="46"/>
    </row>
    <row r="37" spans="1:13" x14ac:dyDescent="0.3">
      <c r="A37" s="47">
        <v>30</v>
      </c>
      <c r="B37" s="52">
        <v>700</v>
      </c>
      <c r="C37" s="49" t="s">
        <v>35</v>
      </c>
      <c r="D37" s="42"/>
      <c r="E37" s="56">
        <f>B37-0.8</f>
        <v>699.2</v>
      </c>
      <c r="F37" s="56">
        <f>B37+0.8</f>
        <v>700.8</v>
      </c>
      <c r="G37" s="44"/>
      <c r="H37" s="44"/>
      <c r="I37" s="44"/>
      <c r="J37" s="44"/>
      <c r="K37" s="44"/>
      <c r="L37" s="45"/>
      <c r="M37" s="46"/>
    </row>
    <row r="38" spans="1:13" x14ac:dyDescent="0.3">
      <c r="A38" s="47">
        <v>31</v>
      </c>
      <c r="B38" s="52">
        <v>840</v>
      </c>
      <c r="C38" s="49" t="s">
        <v>35</v>
      </c>
      <c r="D38" s="42"/>
      <c r="E38" s="56">
        <f>B38-0.8</f>
        <v>839.2</v>
      </c>
      <c r="F38" s="56">
        <f>B38+0.8</f>
        <v>840.8</v>
      </c>
      <c r="G38" s="44"/>
      <c r="H38" s="44"/>
      <c r="I38" s="44"/>
      <c r="J38" s="44"/>
      <c r="K38" s="44"/>
      <c r="L38" s="45"/>
      <c r="M38" s="46"/>
    </row>
    <row r="39" spans="1:13" x14ac:dyDescent="0.3">
      <c r="A39" s="47">
        <v>32</v>
      </c>
      <c r="B39" s="52">
        <v>980</v>
      </c>
      <c r="C39" s="49" t="s">
        <v>35</v>
      </c>
      <c r="D39" s="42"/>
      <c r="E39" s="56">
        <f>B39-0.8</f>
        <v>979.2</v>
      </c>
      <c r="F39" s="56">
        <f>B39+0.8</f>
        <v>980.8</v>
      </c>
      <c r="G39" s="44"/>
      <c r="H39" s="44"/>
      <c r="I39" s="44"/>
      <c r="J39" s="44"/>
      <c r="K39" s="44"/>
      <c r="L39" s="45"/>
      <c r="M39" s="46"/>
    </row>
    <row r="40" spans="1:13" x14ac:dyDescent="0.3">
      <c r="A40" s="47">
        <v>33</v>
      </c>
      <c r="B40" s="52">
        <v>2065</v>
      </c>
      <c r="C40" s="60" t="s">
        <v>26</v>
      </c>
      <c r="D40" s="42"/>
      <c r="E40" s="54">
        <f>B40-2</f>
        <v>2063</v>
      </c>
      <c r="F40" s="54">
        <f>B40+2</f>
        <v>2067</v>
      </c>
      <c r="G40" s="44"/>
      <c r="H40" s="44"/>
      <c r="I40" s="44"/>
      <c r="J40" s="44"/>
      <c r="K40" s="44"/>
      <c r="L40" s="45"/>
      <c r="M40" s="46"/>
    </row>
    <row r="41" spans="1:13" x14ac:dyDescent="0.3">
      <c r="A41" s="47">
        <v>34</v>
      </c>
      <c r="B41" s="52">
        <v>1120</v>
      </c>
      <c r="C41" s="49" t="s">
        <v>28</v>
      </c>
      <c r="D41" s="42"/>
      <c r="E41" s="56">
        <f t="shared" ref="E41:E46" si="2">B41-1.2</f>
        <v>1118.8</v>
      </c>
      <c r="F41" s="56">
        <f t="shared" ref="F41:F46" si="3">B41+1.2</f>
        <v>1121.2</v>
      </c>
      <c r="G41" s="44"/>
      <c r="H41" s="44"/>
      <c r="I41" s="44"/>
      <c r="J41" s="44"/>
      <c r="K41" s="44"/>
      <c r="L41" s="45"/>
      <c r="M41" s="46"/>
    </row>
    <row r="42" spans="1:13" x14ac:dyDescent="0.3">
      <c r="A42" s="47">
        <v>35</v>
      </c>
      <c r="B42" s="52">
        <v>1260</v>
      </c>
      <c r="C42" s="49" t="s">
        <v>28</v>
      </c>
      <c r="D42" s="42"/>
      <c r="E42" s="56">
        <f t="shared" si="2"/>
        <v>1258.8</v>
      </c>
      <c r="F42" s="56">
        <f t="shared" si="3"/>
        <v>1261.2</v>
      </c>
      <c r="G42" s="44"/>
      <c r="H42" s="44"/>
      <c r="I42" s="44"/>
      <c r="J42" s="44"/>
      <c r="K42" s="44"/>
      <c r="L42" s="45"/>
      <c r="M42" s="46"/>
    </row>
    <row r="43" spans="1:13" x14ac:dyDescent="0.3">
      <c r="A43" s="47">
        <v>36</v>
      </c>
      <c r="B43" s="52">
        <v>1400</v>
      </c>
      <c r="C43" s="49" t="s">
        <v>28</v>
      </c>
      <c r="D43" s="42"/>
      <c r="E43" s="56">
        <f t="shared" si="2"/>
        <v>1398.8</v>
      </c>
      <c r="F43" s="56">
        <f t="shared" si="3"/>
        <v>1401.2</v>
      </c>
      <c r="G43" s="44"/>
      <c r="H43" s="44"/>
      <c r="I43" s="44"/>
      <c r="J43" s="44"/>
      <c r="K43" s="44"/>
      <c r="L43" s="45"/>
      <c r="M43" s="46"/>
    </row>
    <row r="44" spans="1:13" x14ac:dyDescent="0.3">
      <c r="A44" s="47">
        <v>37</v>
      </c>
      <c r="B44" s="52">
        <v>1540</v>
      </c>
      <c r="C44" s="49" t="s">
        <v>28</v>
      </c>
      <c r="D44" s="42"/>
      <c r="E44" s="56">
        <f t="shared" si="2"/>
        <v>1538.8</v>
      </c>
      <c r="F44" s="56">
        <f t="shared" si="3"/>
        <v>1541.2</v>
      </c>
      <c r="G44" s="44"/>
      <c r="H44" s="44"/>
      <c r="I44" s="44"/>
      <c r="J44" s="44"/>
      <c r="K44" s="44"/>
      <c r="L44" s="45"/>
      <c r="M44" s="46"/>
    </row>
    <row r="45" spans="1:13" x14ac:dyDescent="0.3">
      <c r="A45" s="47">
        <v>38</v>
      </c>
      <c r="B45" s="52">
        <v>1820</v>
      </c>
      <c r="C45" s="49" t="s">
        <v>28</v>
      </c>
      <c r="D45" s="42"/>
      <c r="E45" s="56">
        <f t="shared" si="2"/>
        <v>1818.8</v>
      </c>
      <c r="F45" s="56">
        <f t="shared" si="3"/>
        <v>1821.2</v>
      </c>
      <c r="G45" s="44"/>
      <c r="H45" s="44"/>
      <c r="I45" s="44"/>
      <c r="J45" s="44"/>
      <c r="K45" s="44"/>
      <c r="L45" s="45"/>
      <c r="M45" s="46"/>
    </row>
    <row r="46" spans="1:13" x14ac:dyDescent="0.3">
      <c r="A46" s="47">
        <v>39</v>
      </c>
      <c r="B46" s="48" t="s">
        <v>37</v>
      </c>
      <c r="C46" s="49" t="s">
        <v>28</v>
      </c>
      <c r="D46" s="42"/>
      <c r="E46" s="61">
        <f t="shared" si="2"/>
        <v>1958.8</v>
      </c>
      <c r="F46" s="61">
        <f t="shared" si="3"/>
        <v>1961.2</v>
      </c>
      <c r="G46" s="44"/>
      <c r="H46" s="44"/>
      <c r="I46" s="44"/>
      <c r="J46" s="44"/>
      <c r="K46" s="44"/>
      <c r="L46" s="45"/>
      <c r="M46" s="46"/>
    </row>
    <row r="47" spans="1:13" x14ac:dyDescent="0.3">
      <c r="A47" s="47">
        <v>40</v>
      </c>
      <c r="B47" s="48" t="s">
        <v>38</v>
      </c>
      <c r="C47" s="49" t="s">
        <v>34</v>
      </c>
      <c r="D47" s="42"/>
      <c r="E47" s="61">
        <f>B47-0.5</f>
        <v>354.5</v>
      </c>
      <c r="F47" s="61">
        <f>B47+0.5</f>
        <v>355.5</v>
      </c>
      <c r="G47" s="44"/>
      <c r="H47" s="44"/>
      <c r="I47" s="44"/>
      <c r="J47" s="44"/>
      <c r="K47" s="44"/>
      <c r="L47" s="45"/>
      <c r="M47" s="46"/>
    </row>
    <row r="48" spans="1:13" x14ac:dyDescent="0.3">
      <c r="A48" s="47">
        <v>41</v>
      </c>
      <c r="B48" s="48" t="s">
        <v>39</v>
      </c>
      <c r="C48" s="49" t="s">
        <v>28</v>
      </c>
      <c r="D48" s="42"/>
      <c r="E48" s="43">
        <f>1408.2-1.2</f>
        <v>1407</v>
      </c>
      <c r="F48" s="43">
        <f>1408.2+1.2</f>
        <v>1409.4</v>
      </c>
      <c r="G48" s="44"/>
      <c r="H48" s="44"/>
      <c r="I48" s="44"/>
      <c r="J48" s="44"/>
      <c r="K48" s="44"/>
      <c r="L48" s="45"/>
      <c r="M48" s="46"/>
    </row>
    <row r="49" spans="1:13" x14ac:dyDescent="0.3">
      <c r="A49" s="47">
        <v>42</v>
      </c>
      <c r="B49" s="48" t="s">
        <v>40</v>
      </c>
      <c r="C49" s="49" t="s">
        <v>28</v>
      </c>
      <c r="D49" s="42"/>
      <c r="E49" s="43">
        <f>1305-1.2</f>
        <v>1303.8</v>
      </c>
      <c r="F49" s="43">
        <f>1305+1.2</f>
        <v>1306.2</v>
      </c>
      <c r="G49" s="44"/>
      <c r="H49" s="44"/>
      <c r="I49" s="44"/>
      <c r="J49" s="44"/>
      <c r="K49" s="44"/>
      <c r="L49" s="45"/>
      <c r="M49" s="46"/>
    </row>
    <row r="50" spans="1:13" x14ac:dyDescent="0.3">
      <c r="A50" s="47">
        <v>43</v>
      </c>
      <c r="B50" s="48" t="s">
        <v>41</v>
      </c>
      <c r="C50" s="60" t="s">
        <v>42</v>
      </c>
      <c r="D50" s="42"/>
      <c r="E50" s="61">
        <f>B50-4</f>
        <v>856</v>
      </c>
      <c r="F50" s="61">
        <f>B50+4</f>
        <v>864</v>
      </c>
      <c r="G50" s="44"/>
      <c r="H50" s="44"/>
      <c r="I50" s="44"/>
      <c r="J50" s="44"/>
      <c r="K50" s="44"/>
      <c r="L50" s="45"/>
      <c r="M50" s="46"/>
    </row>
    <row r="51" spans="1:13" x14ac:dyDescent="0.3">
      <c r="A51" s="47">
        <v>44</v>
      </c>
      <c r="B51" s="48" t="s">
        <v>43</v>
      </c>
      <c r="C51" s="60" t="s">
        <v>42</v>
      </c>
      <c r="D51" s="42"/>
      <c r="E51" s="61">
        <f>B51-4</f>
        <v>426</v>
      </c>
      <c r="F51" s="61">
        <f>B51+4</f>
        <v>434</v>
      </c>
      <c r="G51" s="44"/>
      <c r="H51" s="44"/>
      <c r="I51" s="44"/>
      <c r="J51" s="44"/>
      <c r="K51" s="44"/>
      <c r="L51" s="45"/>
      <c r="M51" s="46"/>
    </row>
    <row r="52" spans="1:13" x14ac:dyDescent="0.3">
      <c r="A52" s="47">
        <v>45</v>
      </c>
      <c r="B52" s="48" t="s">
        <v>44</v>
      </c>
      <c r="C52" s="49" t="s">
        <v>34</v>
      </c>
      <c r="D52" s="42"/>
      <c r="E52" s="43">
        <f>218.5-0.5</f>
        <v>218</v>
      </c>
      <c r="F52" s="43">
        <f>218.5+0.5</f>
        <v>219</v>
      </c>
      <c r="G52" s="44"/>
      <c r="H52" s="44"/>
      <c r="I52" s="44"/>
      <c r="J52" s="44"/>
      <c r="K52" s="44"/>
      <c r="L52" s="45"/>
      <c r="M52" s="46"/>
    </row>
    <row r="53" spans="1:13" x14ac:dyDescent="0.3">
      <c r="A53" s="47">
        <v>46</v>
      </c>
      <c r="B53" s="52">
        <v>1301</v>
      </c>
      <c r="C53" s="60" t="s">
        <v>26</v>
      </c>
      <c r="D53" s="42"/>
      <c r="E53" s="54">
        <f>B53-2</f>
        <v>1299</v>
      </c>
      <c r="F53" s="54">
        <f>B53+2</f>
        <v>1303</v>
      </c>
      <c r="G53" s="44"/>
      <c r="H53" s="44"/>
      <c r="I53" s="44"/>
      <c r="J53" s="44"/>
      <c r="K53" s="44"/>
      <c r="L53" s="45"/>
      <c r="M53" s="46"/>
    </row>
    <row r="54" spans="1:13" ht="24.75" customHeight="1" x14ac:dyDescent="0.3">
      <c r="A54" s="47">
        <v>47</v>
      </c>
      <c r="B54" s="50" t="s">
        <v>45</v>
      </c>
      <c r="C54" s="51"/>
      <c r="D54" s="42">
        <v>1</v>
      </c>
      <c r="E54" s="43"/>
      <c r="F54" s="43"/>
      <c r="G54" s="44"/>
      <c r="H54" s="44"/>
      <c r="I54" s="44"/>
      <c r="J54" s="44"/>
      <c r="K54" s="44"/>
      <c r="L54" s="45"/>
      <c r="M54" s="46"/>
    </row>
    <row r="55" spans="1:13" ht="24.75" customHeight="1" x14ac:dyDescent="0.3">
      <c r="A55" s="47">
        <v>48</v>
      </c>
      <c r="B55" s="62" t="s">
        <v>46</v>
      </c>
      <c r="C55" s="63"/>
      <c r="D55" s="42">
        <v>1</v>
      </c>
      <c r="E55" s="43"/>
      <c r="F55" s="43"/>
      <c r="G55" s="44"/>
      <c r="H55" s="44"/>
      <c r="I55" s="44"/>
      <c r="J55" s="44"/>
      <c r="K55" s="44"/>
      <c r="L55" s="45"/>
      <c r="M55" s="46"/>
    </row>
    <row r="56" spans="1:13" x14ac:dyDescent="0.3">
      <c r="A56" s="47">
        <v>49</v>
      </c>
      <c r="B56" s="48" t="s">
        <v>47</v>
      </c>
      <c r="C56" s="49" t="s">
        <v>48</v>
      </c>
      <c r="D56" s="42" t="s">
        <v>49</v>
      </c>
      <c r="E56" s="43">
        <f>12-0.2</f>
        <v>11.8</v>
      </c>
      <c r="F56" s="43">
        <f>12+0.2</f>
        <v>12.2</v>
      </c>
      <c r="G56" s="44"/>
      <c r="H56" s="44"/>
      <c r="I56" s="44"/>
      <c r="J56" s="44"/>
      <c r="K56" s="44"/>
      <c r="L56" s="45"/>
      <c r="M56" s="46"/>
    </row>
    <row r="57" spans="1:13" x14ac:dyDescent="0.3">
      <c r="A57" s="47">
        <v>50</v>
      </c>
      <c r="B57" s="64">
        <v>20</v>
      </c>
      <c r="C57" s="49" t="s">
        <v>48</v>
      </c>
      <c r="D57" s="42"/>
      <c r="E57" s="43">
        <f>B57-0.2</f>
        <v>19.8</v>
      </c>
      <c r="F57" s="43">
        <f>B57+0.2</f>
        <v>20.2</v>
      </c>
      <c r="G57" s="44"/>
      <c r="H57" s="44"/>
      <c r="I57" s="44"/>
      <c r="J57" s="44"/>
      <c r="K57" s="44"/>
      <c r="L57" s="45"/>
      <c r="M57" s="46"/>
    </row>
    <row r="58" spans="1:13" x14ac:dyDescent="0.3">
      <c r="A58" s="47">
        <v>51</v>
      </c>
      <c r="B58" s="48" t="s">
        <v>50</v>
      </c>
      <c r="C58" s="49" t="s">
        <v>48</v>
      </c>
      <c r="D58" s="42"/>
      <c r="E58" s="61">
        <f>B58-0.2</f>
        <v>11.8</v>
      </c>
      <c r="F58" s="61">
        <f>B58+0.2</f>
        <v>12.2</v>
      </c>
      <c r="G58" s="44"/>
      <c r="H58" s="44"/>
      <c r="I58" s="44"/>
      <c r="J58" s="44"/>
      <c r="K58" s="44"/>
      <c r="L58" s="45"/>
      <c r="M58" s="46"/>
    </row>
    <row r="59" spans="1:13" x14ac:dyDescent="0.3">
      <c r="A59" s="47">
        <v>52</v>
      </c>
      <c r="B59" s="52" t="s">
        <v>51</v>
      </c>
      <c r="C59" s="65" t="s">
        <v>52</v>
      </c>
      <c r="D59" s="42" t="s">
        <v>53</v>
      </c>
      <c r="E59" s="43"/>
      <c r="F59" s="43"/>
      <c r="G59" s="44"/>
      <c r="H59" s="44"/>
      <c r="I59" s="44"/>
      <c r="J59" s="44"/>
      <c r="K59" s="44"/>
      <c r="L59" s="45"/>
      <c r="M59" s="46"/>
    </row>
    <row r="60" spans="1:13" x14ac:dyDescent="0.3">
      <c r="A60" s="47">
        <v>53</v>
      </c>
      <c r="B60" s="66" t="s">
        <v>54</v>
      </c>
      <c r="C60" s="67" t="s">
        <v>55</v>
      </c>
      <c r="D60" s="42" t="s">
        <v>49</v>
      </c>
      <c r="E60" s="43">
        <f>25-0.2</f>
        <v>24.8</v>
      </c>
      <c r="F60" s="43">
        <f>25+0.2</f>
        <v>25.2</v>
      </c>
      <c r="G60" s="44"/>
      <c r="H60" s="44"/>
      <c r="I60" s="44"/>
      <c r="J60" s="44"/>
      <c r="K60" s="44"/>
      <c r="L60" s="45"/>
      <c r="M60" s="46"/>
    </row>
    <row r="61" spans="1:13" x14ac:dyDescent="0.3">
      <c r="A61" s="47">
        <v>54</v>
      </c>
      <c r="B61" s="68"/>
      <c r="C61" s="65"/>
      <c r="D61" s="42"/>
      <c r="E61" s="43"/>
      <c r="F61" s="43"/>
      <c r="G61" s="44"/>
      <c r="H61" s="44"/>
      <c r="I61" s="44"/>
      <c r="J61" s="44"/>
      <c r="K61" s="44"/>
      <c r="L61" s="45"/>
      <c r="M61" s="46"/>
    </row>
    <row r="62" spans="1:13" x14ac:dyDescent="0.3">
      <c r="A62" s="47">
        <v>55</v>
      </c>
      <c r="B62" s="68"/>
      <c r="C62" s="65"/>
      <c r="D62" s="42"/>
      <c r="E62" s="43"/>
      <c r="F62" s="43"/>
      <c r="G62" s="44"/>
      <c r="H62" s="44"/>
      <c r="I62" s="44"/>
      <c r="J62" s="44"/>
      <c r="K62" s="44"/>
      <c r="L62" s="45"/>
      <c r="M62" s="46"/>
    </row>
    <row r="63" spans="1:13" x14ac:dyDescent="0.3">
      <c r="A63" s="47">
        <v>56</v>
      </c>
      <c r="B63" s="68"/>
      <c r="C63" s="65"/>
      <c r="D63" s="42"/>
      <c r="E63" s="43"/>
      <c r="F63" s="43"/>
      <c r="G63" s="44"/>
      <c r="H63" s="44"/>
      <c r="I63" s="44"/>
      <c r="J63" s="44"/>
      <c r="K63" s="44"/>
      <c r="L63" s="45"/>
      <c r="M63" s="46"/>
    </row>
    <row r="64" spans="1:13" x14ac:dyDescent="0.3">
      <c r="A64" s="47">
        <v>57</v>
      </c>
      <c r="B64" s="68"/>
      <c r="C64" s="65"/>
      <c r="D64" s="42"/>
      <c r="E64" s="43"/>
      <c r="F64" s="43"/>
      <c r="G64" s="44"/>
      <c r="H64" s="44"/>
      <c r="I64" s="44"/>
      <c r="J64" s="44"/>
      <c r="K64" s="44"/>
      <c r="L64" s="45"/>
      <c r="M64" s="46"/>
    </row>
    <row r="65" spans="1:13" x14ac:dyDescent="0.3">
      <c r="A65" s="47">
        <v>58</v>
      </c>
      <c r="B65" s="68"/>
      <c r="C65" s="65"/>
      <c r="D65" s="42"/>
      <c r="E65" s="43"/>
      <c r="F65" s="43"/>
      <c r="G65" s="44"/>
      <c r="H65" s="44"/>
      <c r="I65" s="44"/>
      <c r="J65" s="44"/>
      <c r="K65" s="44"/>
      <c r="L65" s="45"/>
      <c r="M65" s="46"/>
    </row>
    <row r="66" spans="1:13" x14ac:dyDescent="0.3">
      <c r="A66" s="47">
        <v>59</v>
      </c>
      <c r="B66" s="68"/>
      <c r="C66" s="65"/>
      <c r="D66" s="42"/>
      <c r="E66" s="43"/>
      <c r="F66" s="43"/>
      <c r="G66" s="44"/>
      <c r="H66" s="44"/>
      <c r="I66" s="44"/>
      <c r="J66" s="44"/>
      <c r="K66" s="44"/>
      <c r="L66" s="45"/>
      <c r="M66" s="46"/>
    </row>
    <row r="67" spans="1:13" x14ac:dyDescent="0.3">
      <c r="A67" s="47">
        <v>60</v>
      </c>
      <c r="B67" s="69"/>
      <c r="C67" s="70"/>
      <c r="D67" s="71"/>
      <c r="E67" s="72"/>
      <c r="F67" s="72"/>
      <c r="G67" s="44"/>
      <c r="H67" s="44"/>
      <c r="I67" s="44"/>
      <c r="J67" s="44"/>
      <c r="K67" s="44"/>
      <c r="L67" s="73"/>
      <c r="M67" s="74"/>
    </row>
    <row r="68" spans="1:13" x14ac:dyDescent="0.3">
      <c r="A68" s="47">
        <v>61</v>
      </c>
      <c r="B68" s="69"/>
      <c r="C68" s="70"/>
      <c r="D68" s="71"/>
      <c r="E68" s="72"/>
      <c r="F68" s="72"/>
      <c r="G68" s="44"/>
      <c r="H68" s="44"/>
      <c r="I68" s="44"/>
      <c r="J68" s="44"/>
      <c r="K68" s="44"/>
      <c r="L68" s="73"/>
      <c r="M68" s="74"/>
    </row>
    <row r="69" spans="1:13" x14ac:dyDescent="0.3">
      <c r="A69" s="47">
        <v>62</v>
      </c>
      <c r="B69" s="69"/>
      <c r="C69" s="70"/>
      <c r="D69" s="71"/>
      <c r="E69" s="72"/>
      <c r="F69" s="72"/>
      <c r="G69" s="44"/>
      <c r="H69" s="44"/>
      <c r="I69" s="44"/>
      <c r="J69" s="44"/>
      <c r="K69" s="44"/>
      <c r="L69" s="73"/>
      <c r="M69" s="74"/>
    </row>
    <row r="70" spans="1:13" x14ac:dyDescent="0.3">
      <c r="A70" s="47">
        <v>63</v>
      </c>
      <c r="B70" s="69"/>
      <c r="C70" s="70"/>
      <c r="D70" s="71"/>
      <c r="E70" s="72"/>
      <c r="F70" s="72"/>
      <c r="G70" s="44"/>
      <c r="H70" s="44"/>
      <c r="I70" s="44"/>
      <c r="J70" s="44"/>
      <c r="K70" s="44"/>
      <c r="L70" s="73"/>
      <c r="M70" s="74"/>
    </row>
    <row r="71" spans="1:13" x14ac:dyDescent="0.3">
      <c r="A71" s="47">
        <v>64</v>
      </c>
      <c r="B71" s="69"/>
      <c r="C71" s="70"/>
      <c r="D71" s="71"/>
      <c r="E71" s="72"/>
      <c r="F71" s="72"/>
      <c r="G71" s="44"/>
      <c r="H71" s="44"/>
      <c r="I71" s="44"/>
      <c r="J71" s="44"/>
      <c r="K71" s="44"/>
      <c r="L71" s="73"/>
      <c r="M71" s="74"/>
    </row>
    <row r="72" spans="1:13" x14ac:dyDescent="0.3">
      <c r="A72" s="47">
        <v>65</v>
      </c>
      <c r="B72" s="69"/>
      <c r="C72" s="70"/>
      <c r="D72" s="71"/>
      <c r="E72" s="72"/>
      <c r="F72" s="72"/>
      <c r="G72" s="44"/>
      <c r="H72" s="44"/>
      <c r="I72" s="44"/>
      <c r="J72" s="44"/>
      <c r="K72" s="44"/>
      <c r="L72" s="73"/>
      <c r="M72" s="74"/>
    </row>
    <row r="73" spans="1:13" x14ac:dyDescent="0.3">
      <c r="A73" s="47">
        <v>66</v>
      </c>
      <c r="B73" s="69"/>
      <c r="C73" s="70"/>
      <c r="D73" s="71"/>
      <c r="E73" s="72"/>
      <c r="F73" s="72"/>
      <c r="G73" s="44"/>
      <c r="H73" s="44"/>
      <c r="I73" s="44"/>
      <c r="J73" s="44"/>
      <c r="K73" s="44"/>
      <c r="L73" s="73"/>
      <c r="M73" s="74"/>
    </row>
    <row r="74" spans="1:13" x14ac:dyDescent="0.3">
      <c r="A74" s="47">
        <v>67</v>
      </c>
      <c r="B74" s="69"/>
      <c r="C74" s="70"/>
      <c r="D74" s="71"/>
      <c r="E74" s="72"/>
      <c r="F74" s="72"/>
      <c r="G74" s="44"/>
      <c r="H74" s="44"/>
      <c r="I74" s="44"/>
      <c r="J74" s="44"/>
      <c r="K74" s="44"/>
      <c r="L74" s="73"/>
      <c r="M74" s="74"/>
    </row>
    <row r="75" spans="1:13" x14ac:dyDescent="0.3">
      <c r="A75" s="47">
        <v>68</v>
      </c>
      <c r="B75" s="69"/>
      <c r="C75" s="70"/>
      <c r="D75" s="71"/>
      <c r="E75" s="72"/>
      <c r="F75" s="72"/>
      <c r="G75" s="44"/>
      <c r="H75" s="44"/>
      <c r="I75" s="44"/>
      <c r="J75" s="44"/>
      <c r="K75" s="44"/>
      <c r="L75" s="73"/>
      <c r="M75" s="74"/>
    </row>
    <row r="76" spans="1:13" x14ac:dyDescent="0.3">
      <c r="A76" s="47">
        <v>69</v>
      </c>
      <c r="B76" s="69"/>
      <c r="C76" s="70"/>
      <c r="D76" s="71"/>
      <c r="E76" s="72"/>
      <c r="F76" s="72"/>
      <c r="G76" s="44"/>
      <c r="H76" s="44"/>
      <c r="I76" s="44"/>
      <c r="J76" s="44"/>
      <c r="K76" s="44"/>
      <c r="L76" s="73"/>
      <c r="M76" s="74"/>
    </row>
    <row r="77" spans="1:13" x14ac:dyDescent="0.3">
      <c r="A77" s="47">
        <v>70</v>
      </c>
      <c r="B77" s="69"/>
      <c r="C77" s="70"/>
      <c r="D77" s="71"/>
      <c r="E77" s="72"/>
      <c r="F77" s="72"/>
      <c r="G77" s="44"/>
      <c r="H77" s="44"/>
      <c r="I77" s="44"/>
      <c r="J77" s="44"/>
      <c r="K77" s="44"/>
      <c r="L77" s="73"/>
      <c r="M77" s="74"/>
    </row>
    <row r="78" spans="1:13" x14ac:dyDescent="0.3">
      <c r="A78" s="47">
        <v>71</v>
      </c>
      <c r="B78" s="69"/>
      <c r="C78" s="70"/>
      <c r="D78" s="71"/>
      <c r="E78" s="72"/>
      <c r="F78" s="72"/>
      <c r="G78" s="44"/>
      <c r="H78" s="44"/>
      <c r="I78" s="44"/>
      <c r="J78" s="44"/>
      <c r="K78" s="44"/>
      <c r="L78" s="73"/>
      <c r="M78" s="74"/>
    </row>
    <row r="79" spans="1:13" x14ac:dyDescent="0.3">
      <c r="A79" s="47">
        <v>72</v>
      </c>
      <c r="B79" s="69"/>
      <c r="C79" s="70"/>
      <c r="D79" s="71"/>
      <c r="E79" s="72"/>
      <c r="F79" s="72"/>
      <c r="G79" s="44"/>
      <c r="H79" s="44"/>
      <c r="I79" s="44"/>
      <c r="J79" s="44"/>
      <c r="K79" s="44"/>
      <c r="L79" s="73"/>
      <c r="M79" s="74"/>
    </row>
    <row r="80" spans="1:13" x14ac:dyDescent="0.3">
      <c r="A80" s="47">
        <v>73</v>
      </c>
      <c r="B80" s="69"/>
      <c r="C80" s="70"/>
      <c r="D80" s="71"/>
      <c r="E80" s="72"/>
      <c r="F80" s="72"/>
      <c r="G80" s="44"/>
      <c r="H80" s="44"/>
      <c r="I80" s="44"/>
      <c r="J80" s="44"/>
      <c r="K80" s="44"/>
      <c r="L80" s="73"/>
      <c r="M80" s="74"/>
    </row>
    <row r="81" spans="1:13" x14ac:dyDescent="0.3">
      <c r="A81" s="47">
        <v>74</v>
      </c>
      <c r="B81" s="69"/>
      <c r="C81" s="70"/>
      <c r="D81" s="71"/>
      <c r="E81" s="72"/>
      <c r="F81" s="72"/>
      <c r="G81" s="44"/>
      <c r="H81" s="44"/>
      <c r="I81" s="44"/>
      <c r="J81" s="44"/>
      <c r="K81" s="44"/>
      <c r="L81" s="73"/>
      <c r="M81" s="74"/>
    </row>
    <row r="82" spans="1:13" x14ac:dyDescent="0.3">
      <c r="A82" s="47">
        <v>75</v>
      </c>
      <c r="B82" s="69"/>
      <c r="C82" s="70"/>
      <c r="D82" s="71"/>
      <c r="E82" s="72"/>
      <c r="F82" s="72"/>
      <c r="G82" s="44"/>
      <c r="H82" s="44"/>
      <c r="I82" s="44"/>
      <c r="J82" s="44"/>
      <c r="K82" s="44"/>
      <c r="L82" s="73"/>
      <c r="M82" s="74"/>
    </row>
    <row r="83" spans="1:13" x14ac:dyDescent="0.3">
      <c r="A83" s="47">
        <v>76</v>
      </c>
      <c r="B83" s="69"/>
      <c r="C83" s="70"/>
      <c r="D83" s="71"/>
      <c r="E83" s="72"/>
      <c r="F83" s="72"/>
      <c r="G83" s="44"/>
      <c r="H83" s="44"/>
      <c r="I83" s="44"/>
      <c r="J83" s="44"/>
      <c r="K83" s="44"/>
      <c r="L83" s="73"/>
      <c r="M83" s="74"/>
    </row>
    <row r="84" spans="1:13" x14ac:dyDescent="0.3">
      <c r="A84" s="47">
        <v>77</v>
      </c>
      <c r="B84" s="69"/>
      <c r="C84" s="70"/>
      <c r="D84" s="71"/>
      <c r="E84" s="72"/>
      <c r="F84" s="72"/>
      <c r="G84" s="44"/>
      <c r="H84" s="44"/>
      <c r="I84" s="44"/>
      <c r="J84" s="44"/>
      <c r="K84" s="44"/>
      <c r="L84" s="73"/>
      <c r="M84" s="74"/>
    </row>
    <row r="85" spans="1:13" x14ac:dyDescent="0.3">
      <c r="A85" s="47">
        <v>78</v>
      </c>
      <c r="B85" s="69"/>
      <c r="C85" s="70"/>
      <c r="D85" s="71"/>
      <c r="E85" s="72"/>
      <c r="F85" s="72"/>
      <c r="G85" s="44"/>
      <c r="H85" s="44"/>
      <c r="I85" s="44"/>
      <c r="J85" s="44"/>
      <c r="K85" s="44"/>
      <c r="L85" s="73"/>
      <c r="M85" s="74"/>
    </row>
    <row r="86" spans="1:13" x14ac:dyDescent="0.3">
      <c r="A86" s="47">
        <v>79</v>
      </c>
      <c r="B86" s="69"/>
      <c r="C86" s="70"/>
      <c r="D86" s="71"/>
      <c r="E86" s="72"/>
      <c r="F86" s="72"/>
      <c r="G86" s="44"/>
      <c r="H86" s="44"/>
      <c r="I86" s="44"/>
      <c r="J86" s="44"/>
      <c r="K86" s="44"/>
      <c r="L86" s="73"/>
      <c r="M86" s="74"/>
    </row>
    <row r="87" spans="1:13" x14ac:dyDescent="0.3">
      <c r="A87" s="47">
        <v>80</v>
      </c>
      <c r="B87" s="69"/>
      <c r="C87" s="70"/>
      <c r="D87" s="71"/>
      <c r="E87" s="72"/>
      <c r="F87" s="72"/>
      <c r="G87" s="44"/>
      <c r="H87" s="44"/>
      <c r="I87" s="44"/>
      <c r="J87" s="44"/>
      <c r="K87" s="44"/>
      <c r="L87" s="73"/>
      <c r="M87" s="74"/>
    </row>
    <row r="88" spans="1:13" x14ac:dyDescent="0.3">
      <c r="A88" s="47">
        <v>81</v>
      </c>
      <c r="B88" s="69"/>
      <c r="C88" s="70"/>
      <c r="D88" s="71"/>
      <c r="E88" s="72"/>
      <c r="F88" s="72"/>
      <c r="G88" s="44"/>
      <c r="H88" s="44"/>
      <c r="I88" s="44"/>
      <c r="J88" s="44"/>
      <c r="K88" s="44"/>
      <c r="L88" s="73"/>
      <c r="M88" s="74"/>
    </row>
    <row r="89" spans="1:13" x14ac:dyDescent="0.3">
      <c r="A89" s="47">
        <v>82</v>
      </c>
      <c r="B89" s="69"/>
      <c r="C89" s="70"/>
      <c r="D89" s="71"/>
      <c r="E89" s="72"/>
      <c r="F89" s="72"/>
      <c r="G89" s="44"/>
      <c r="H89" s="44"/>
      <c r="I89" s="44"/>
      <c r="J89" s="44"/>
      <c r="K89" s="44"/>
      <c r="L89" s="73"/>
      <c r="M89" s="74"/>
    </row>
    <row r="90" spans="1:13" x14ac:dyDescent="0.3">
      <c r="A90" s="47">
        <v>83</v>
      </c>
      <c r="B90" s="69"/>
      <c r="C90" s="70"/>
      <c r="D90" s="71"/>
      <c r="E90" s="72"/>
      <c r="F90" s="72"/>
      <c r="G90" s="44"/>
      <c r="H90" s="44"/>
      <c r="I90" s="44"/>
      <c r="J90" s="44"/>
      <c r="K90" s="44"/>
      <c r="L90" s="73"/>
      <c r="M90" s="74"/>
    </row>
    <row r="91" spans="1:13" x14ac:dyDescent="0.3">
      <c r="A91" s="47">
        <v>84</v>
      </c>
      <c r="B91" s="69"/>
      <c r="C91" s="70"/>
      <c r="D91" s="71"/>
      <c r="E91" s="72"/>
      <c r="F91" s="72"/>
      <c r="G91" s="44"/>
      <c r="H91" s="44"/>
      <c r="I91" s="44"/>
      <c r="J91" s="44"/>
      <c r="K91" s="44"/>
      <c r="L91" s="73"/>
      <c r="M91" s="74"/>
    </row>
    <row r="92" spans="1:13" x14ac:dyDescent="0.3">
      <c r="A92" s="47">
        <v>85</v>
      </c>
      <c r="B92" s="69"/>
      <c r="C92" s="70"/>
      <c r="D92" s="71"/>
      <c r="E92" s="72"/>
      <c r="F92" s="72"/>
      <c r="G92" s="44"/>
      <c r="H92" s="44"/>
      <c r="I92" s="44"/>
      <c r="J92" s="44"/>
      <c r="K92" s="44"/>
      <c r="L92" s="73"/>
      <c r="M92" s="74"/>
    </row>
    <row r="93" spans="1:13" x14ac:dyDescent="0.3">
      <c r="A93" s="47">
        <v>86</v>
      </c>
      <c r="B93" s="69"/>
      <c r="C93" s="70"/>
      <c r="D93" s="71"/>
      <c r="E93" s="72"/>
      <c r="F93" s="72"/>
      <c r="G93" s="44"/>
      <c r="H93" s="44"/>
      <c r="I93" s="44"/>
      <c r="J93" s="44"/>
      <c r="K93" s="44"/>
      <c r="L93" s="73"/>
      <c r="M93" s="74"/>
    </row>
    <row r="94" spans="1:13" x14ac:dyDescent="0.3">
      <c r="A94" s="47">
        <v>87</v>
      </c>
      <c r="B94" s="69"/>
      <c r="C94" s="70"/>
      <c r="D94" s="71"/>
      <c r="E94" s="72"/>
      <c r="F94" s="72"/>
      <c r="G94" s="44"/>
      <c r="H94" s="44"/>
      <c r="I94" s="44"/>
      <c r="J94" s="44"/>
      <c r="K94" s="44"/>
      <c r="L94" s="73"/>
      <c r="M94" s="74"/>
    </row>
    <row r="95" spans="1:13" x14ac:dyDescent="0.3">
      <c r="A95" s="47">
        <v>88</v>
      </c>
      <c r="B95" s="69"/>
      <c r="C95" s="70"/>
      <c r="D95" s="71"/>
      <c r="E95" s="72"/>
      <c r="F95" s="72"/>
      <c r="G95" s="44"/>
      <c r="H95" s="44"/>
      <c r="I95" s="44"/>
      <c r="J95" s="44"/>
      <c r="K95" s="44"/>
      <c r="L95" s="73"/>
      <c r="M95" s="74"/>
    </row>
    <row r="96" spans="1:13" x14ac:dyDescent="0.3">
      <c r="A96" s="47">
        <v>89</v>
      </c>
      <c r="B96" s="69"/>
      <c r="C96" s="70"/>
      <c r="D96" s="71"/>
      <c r="E96" s="72"/>
      <c r="F96" s="72"/>
      <c r="G96" s="44"/>
      <c r="H96" s="44"/>
      <c r="I96" s="44"/>
      <c r="J96" s="44"/>
      <c r="K96" s="44"/>
      <c r="L96" s="73"/>
      <c r="M96" s="74"/>
    </row>
    <row r="97" spans="1:13" x14ac:dyDescent="0.3">
      <c r="A97" s="47">
        <v>90</v>
      </c>
      <c r="B97" s="69"/>
      <c r="C97" s="70"/>
      <c r="D97" s="71"/>
      <c r="E97" s="72"/>
      <c r="F97" s="72"/>
      <c r="G97" s="44"/>
      <c r="H97" s="44"/>
      <c r="I97" s="44"/>
      <c r="J97" s="44"/>
      <c r="K97" s="44"/>
      <c r="L97" s="73"/>
      <c r="M97" s="74"/>
    </row>
    <row r="98" spans="1:13" x14ac:dyDescent="0.3">
      <c r="A98" s="47">
        <v>91</v>
      </c>
      <c r="B98" s="69"/>
      <c r="C98" s="70"/>
      <c r="D98" s="71"/>
      <c r="E98" s="72"/>
      <c r="F98" s="72"/>
      <c r="G98" s="44"/>
      <c r="H98" s="44"/>
      <c r="I98" s="44"/>
      <c r="J98" s="44"/>
      <c r="K98" s="44"/>
      <c r="L98" s="73"/>
      <c r="M98" s="74"/>
    </row>
    <row r="99" spans="1:13" x14ac:dyDescent="0.3">
      <c r="A99" s="47">
        <v>92</v>
      </c>
      <c r="B99" s="69"/>
      <c r="C99" s="70"/>
      <c r="D99" s="71"/>
      <c r="E99" s="72"/>
      <c r="F99" s="72"/>
      <c r="G99" s="44"/>
      <c r="H99" s="44"/>
      <c r="I99" s="44"/>
      <c r="J99" s="44"/>
      <c r="K99" s="44"/>
      <c r="L99" s="73"/>
      <c r="M99" s="74"/>
    </row>
    <row r="100" spans="1:13" x14ac:dyDescent="0.3">
      <c r="A100" s="47">
        <v>93</v>
      </c>
      <c r="B100" s="69"/>
      <c r="C100" s="70"/>
      <c r="D100" s="71"/>
      <c r="E100" s="72"/>
      <c r="F100" s="72"/>
      <c r="G100" s="44"/>
      <c r="H100" s="44"/>
      <c r="I100" s="44"/>
      <c r="J100" s="44"/>
      <c r="K100" s="44"/>
      <c r="L100" s="73"/>
      <c r="M100" s="74"/>
    </row>
    <row r="101" spans="1:13" x14ac:dyDescent="0.3">
      <c r="A101" s="47">
        <v>94</v>
      </c>
      <c r="B101" s="69"/>
      <c r="C101" s="70"/>
      <c r="D101" s="71"/>
      <c r="E101" s="72"/>
      <c r="F101" s="72"/>
      <c r="G101" s="44"/>
      <c r="H101" s="44"/>
      <c r="I101" s="44"/>
      <c r="J101" s="44"/>
      <c r="K101" s="44"/>
      <c r="L101" s="73"/>
      <c r="M101" s="74"/>
    </row>
    <row r="102" spans="1:13" x14ac:dyDescent="0.3">
      <c r="A102" s="47">
        <v>95</v>
      </c>
      <c r="B102" s="69"/>
      <c r="C102" s="70"/>
      <c r="D102" s="71"/>
      <c r="E102" s="72"/>
      <c r="F102" s="72"/>
      <c r="G102" s="44"/>
      <c r="H102" s="44"/>
      <c r="I102" s="44"/>
      <c r="J102" s="44"/>
      <c r="K102" s="44"/>
      <c r="L102" s="73"/>
      <c r="M102" s="74"/>
    </row>
    <row r="103" spans="1:13" x14ac:dyDescent="0.3">
      <c r="A103" s="47">
        <v>96</v>
      </c>
      <c r="B103" s="69"/>
      <c r="C103" s="70"/>
      <c r="D103" s="71"/>
      <c r="E103" s="72"/>
      <c r="F103" s="72"/>
      <c r="G103" s="44"/>
      <c r="H103" s="44"/>
      <c r="I103" s="44"/>
      <c r="J103" s="44"/>
      <c r="K103" s="44"/>
      <c r="L103" s="73"/>
      <c r="M103" s="74"/>
    </row>
    <row r="104" spans="1:13" x14ac:dyDescent="0.3">
      <c r="A104" s="47">
        <v>97</v>
      </c>
      <c r="B104" s="69"/>
      <c r="C104" s="70"/>
      <c r="D104" s="71"/>
      <c r="E104" s="72"/>
      <c r="F104" s="72"/>
      <c r="G104" s="44"/>
      <c r="H104" s="44"/>
      <c r="I104" s="44"/>
      <c r="J104" s="44"/>
      <c r="K104" s="44"/>
      <c r="L104" s="73"/>
      <c r="M104" s="74"/>
    </row>
    <row r="105" spans="1:13" x14ac:dyDescent="0.3">
      <c r="A105" s="47">
        <v>98</v>
      </c>
      <c r="B105" s="69"/>
      <c r="C105" s="70"/>
      <c r="D105" s="71"/>
      <c r="E105" s="72"/>
      <c r="F105" s="72"/>
      <c r="G105" s="44"/>
      <c r="H105" s="44"/>
      <c r="I105" s="44"/>
      <c r="J105" s="44"/>
      <c r="K105" s="44"/>
      <c r="L105" s="73"/>
      <c r="M105" s="74"/>
    </row>
    <row r="106" spans="1:13" x14ac:dyDescent="0.3">
      <c r="A106" s="47">
        <v>99</v>
      </c>
      <c r="B106" s="69"/>
      <c r="C106" s="70"/>
      <c r="D106" s="71"/>
      <c r="E106" s="72"/>
      <c r="F106" s="72"/>
      <c r="G106" s="44"/>
      <c r="H106" s="44"/>
      <c r="I106" s="44"/>
      <c r="J106" s="44"/>
      <c r="K106" s="44"/>
      <c r="L106" s="73"/>
      <c r="M106" s="74"/>
    </row>
    <row r="107" spans="1:13" ht="15" thickBot="1" x14ac:dyDescent="0.35">
      <c r="A107" s="47">
        <v>100</v>
      </c>
      <c r="B107" s="69"/>
      <c r="C107" s="70"/>
      <c r="D107" s="71"/>
      <c r="E107" s="72"/>
      <c r="F107" s="72"/>
      <c r="G107" s="44"/>
      <c r="H107" s="44"/>
      <c r="I107" s="44"/>
      <c r="J107" s="44"/>
      <c r="K107" s="44"/>
      <c r="L107" s="73"/>
      <c r="M107" s="74"/>
    </row>
    <row r="108" spans="1:13" ht="14.4" customHeight="1" x14ac:dyDescent="0.3">
      <c r="A108" s="8" t="s">
        <v>56</v>
      </c>
      <c r="B108" s="75"/>
      <c r="C108" s="76"/>
      <c r="D108" s="77"/>
      <c r="E108" s="77"/>
      <c r="F108" s="77"/>
      <c r="G108" s="77"/>
      <c r="H108" s="77"/>
      <c r="I108" s="78"/>
      <c r="J108" s="79" t="s">
        <v>57</v>
      </c>
      <c r="K108" s="80"/>
      <c r="L108" s="81" t="s">
        <v>58</v>
      </c>
      <c r="M108" s="82"/>
    </row>
    <row r="109" spans="1:13" x14ac:dyDescent="0.3">
      <c r="A109" s="14" t="s">
        <v>59</v>
      </c>
      <c r="B109" s="83"/>
      <c r="C109" s="16"/>
      <c r="D109" s="17"/>
      <c r="E109" s="17"/>
      <c r="F109" s="17"/>
      <c r="G109" s="17"/>
      <c r="H109" s="17"/>
      <c r="I109" s="18"/>
      <c r="J109" s="14" t="s">
        <v>59</v>
      </c>
      <c r="K109" s="83"/>
      <c r="L109" s="84"/>
      <c r="M109" s="85"/>
    </row>
    <row r="110" spans="1:13" ht="15" thickBot="1" x14ac:dyDescent="0.35">
      <c r="A110" s="20" t="s">
        <v>60</v>
      </c>
      <c r="B110" s="86"/>
      <c r="C110" s="87">
        <v>46203</v>
      </c>
      <c r="D110" s="88"/>
      <c r="E110" s="88"/>
      <c r="F110" s="88"/>
      <c r="G110" s="88"/>
      <c r="H110" s="88"/>
      <c r="I110" s="89"/>
      <c r="J110" s="20" t="s">
        <v>61</v>
      </c>
      <c r="K110" s="86"/>
      <c r="L110" s="90">
        <v>46203</v>
      </c>
      <c r="M110" s="91"/>
    </row>
    <row r="111" spans="1:13" ht="15" customHeight="1" thickBot="1" x14ac:dyDescent="0.35">
      <c r="A111" s="92" t="s">
        <v>62</v>
      </c>
      <c r="B111" s="93"/>
      <c r="C111" s="94"/>
      <c r="D111" s="95" t="s">
        <v>63</v>
      </c>
      <c r="E111" s="96"/>
      <c r="F111" s="96"/>
      <c r="G111" s="96"/>
      <c r="H111" s="96"/>
      <c r="I111" s="96"/>
      <c r="J111" s="97"/>
      <c r="K111" s="98" t="s">
        <v>64</v>
      </c>
      <c r="L111" s="99"/>
      <c r="M111" s="100"/>
    </row>
    <row r="112" spans="1:13" x14ac:dyDescent="0.3">
      <c r="K112" s="101" t="s">
        <v>65</v>
      </c>
    </row>
  </sheetData>
  <mergeCells count="34">
    <mergeCell ref="A110:B110"/>
    <mergeCell ref="C110:I110"/>
    <mergeCell ref="J110:K110"/>
    <mergeCell ref="A111:C111"/>
    <mergeCell ref="D111:J111"/>
    <mergeCell ref="K111:M111"/>
    <mergeCell ref="B10:C10"/>
    <mergeCell ref="B54:C54"/>
    <mergeCell ref="B55:C55"/>
    <mergeCell ref="A108:B108"/>
    <mergeCell ref="J108:K108"/>
    <mergeCell ref="A109:B109"/>
    <mergeCell ref="C109:I109"/>
    <mergeCell ref="J109:K109"/>
    <mergeCell ref="A6:A7"/>
    <mergeCell ref="B6:B7"/>
    <mergeCell ref="C6:C7"/>
    <mergeCell ref="D6:K6"/>
    <mergeCell ref="L6:L7"/>
    <mergeCell ref="M6:M7"/>
    <mergeCell ref="A4:B4"/>
    <mergeCell ref="C4:I4"/>
    <mergeCell ref="J4:K4"/>
    <mergeCell ref="L4:M4"/>
    <mergeCell ref="A5:B5"/>
    <mergeCell ref="C5:I5"/>
    <mergeCell ref="J5:K5"/>
    <mergeCell ref="L5:M5"/>
    <mergeCell ref="A1:M1"/>
    <mergeCell ref="A2:M2"/>
    <mergeCell ref="A3:B3"/>
    <mergeCell ref="C3:I3"/>
    <mergeCell ref="J3:K3"/>
    <mergeCell ref="L3:M3"/>
  </mergeCells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W1G00005572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Mehta</dc:creator>
  <cp:lastModifiedBy>Yatin Mehta</cp:lastModifiedBy>
  <dcterms:created xsi:type="dcterms:W3CDTF">2026-09-08T10:58:12Z</dcterms:created>
  <dcterms:modified xsi:type="dcterms:W3CDTF">2026-09-08T10:59:41Z</dcterms:modified>
</cp:coreProperties>
</file>