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New folder\"/>
    </mc:Choice>
  </mc:AlternateContent>
  <xr:revisionPtr revIDLastSave="0" documentId="13_ncr:1_{83F7C94B-2A72-4FF7-8DAC-1BD59CF652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 (SP+1)" sheetId="1" r:id="rId1"/>
    <sheet name="03 (DFT Final)" sheetId="7" r:id="rId2"/>
    <sheet name="COATING DATA" sheetId="9" r:id="rId3"/>
  </sheets>
  <definedNames>
    <definedName name="_xlnm.Print_Area" localSheetId="0">'01 (SP+1)'!$A$1:$AI$34</definedName>
    <definedName name="_xlnm.Print_Area" localSheetId="1">'03 (DFT Final)'!$A$1:$AI$33</definedName>
    <definedName name="_xlnm.Print_Area" localSheetId="2">'COATING DATA'!$A$1:$P$7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6" i="7" l="1"/>
  <c r="AK26" i="7" l="1"/>
  <c r="BJ26" i="7"/>
  <c r="BI26" i="7"/>
  <c r="BH26" i="7"/>
  <c r="BG26" i="7"/>
  <c r="BF26" i="7"/>
  <c r="BE26" i="7"/>
  <c r="BD26" i="7"/>
  <c r="BC26" i="7"/>
  <c r="BB26" i="7"/>
  <c r="BA26" i="7"/>
  <c r="AZ26" i="7"/>
  <c r="AY26" i="7"/>
  <c r="AX26" i="7"/>
  <c r="AW26" i="7"/>
  <c r="AV26" i="7"/>
  <c r="AU26" i="7"/>
  <c r="AT26" i="7"/>
  <c r="AS26" i="7"/>
  <c r="AR26" i="7"/>
  <c r="AQ26" i="7"/>
  <c r="AP26" i="7"/>
  <c r="AO26" i="7"/>
  <c r="AN26" i="7"/>
  <c r="AM26" i="7"/>
  <c r="AL26" i="7"/>
  <c r="BJ24" i="7"/>
  <c r="AY24" i="7"/>
  <c r="AZ24" i="7"/>
  <c r="BA24" i="7"/>
  <c r="BB24" i="7"/>
  <c r="BC24" i="7"/>
  <c r="BD24" i="7"/>
  <c r="BE24" i="7"/>
  <c r="BF24" i="7"/>
  <c r="BG24" i="7"/>
  <c r="BH24" i="7"/>
  <c r="BI24" i="7"/>
  <c r="AX24" i="7"/>
  <c r="AL24" i="7"/>
  <c r="AM24" i="7"/>
  <c r="AN24" i="7"/>
  <c r="AO24" i="7"/>
  <c r="AP24" i="7"/>
  <c r="AQ24" i="7"/>
  <c r="AR24" i="7"/>
  <c r="AS24" i="7"/>
  <c r="AT24" i="7"/>
  <c r="AU24" i="7"/>
  <c r="AV24" i="7"/>
  <c r="AW24" i="7"/>
  <c r="AK24" i="7"/>
  <c r="AF25" i="7" l="1"/>
  <c r="AH25" i="7"/>
  <c r="AD25" i="7"/>
  <c r="AH27" i="7"/>
  <c r="AD27" i="7"/>
  <c r="AF27" i="7"/>
</calcChain>
</file>

<file path=xl/sharedStrings.xml><?xml version="1.0" encoding="utf-8"?>
<sst xmlns="http://schemas.openxmlformats.org/spreadsheetml/2006/main" count="266" uniqueCount="174">
  <si>
    <t xml:space="preserve">Welds </t>
  </si>
  <si>
    <t xml:space="preserve">Edges </t>
  </si>
  <si>
    <t>Corners</t>
  </si>
  <si>
    <t>Spatter</t>
  </si>
  <si>
    <r>
      <rPr>
        <b/>
        <i/>
        <sz val="10"/>
        <color theme="1"/>
        <rFont val="Calibri"/>
        <family val="2"/>
        <scheme val="minor"/>
      </rPr>
      <t>Organic Solvent Cleaning</t>
    </r>
    <r>
      <rPr>
        <i/>
        <sz val="10"/>
        <color theme="1"/>
        <rFont val="Calibri"/>
        <family val="2"/>
        <scheme val="minor"/>
      </rPr>
      <t xml:space="preserve"> (ISO12944-4/6.2.5)</t>
    </r>
  </si>
  <si>
    <t>Beading</t>
  </si>
  <si>
    <t>Blotchy</t>
  </si>
  <si>
    <t>Clean</t>
  </si>
  <si>
    <t>Time</t>
  </si>
  <si>
    <t xml:space="preserve">After Painting </t>
  </si>
  <si>
    <t xml:space="preserve">Color </t>
  </si>
  <si>
    <t xml:space="preserve">Batch No [Part A] </t>
  </si>
  <si>
    <t xml:space="preserve">Batch No [Part B] </t>
  </si>
  <si>
    <t>Product Name</t>
  </si>
  <si>
    <t>'Yes' or 'No'</t>
  </si>
  <si>
    <t>('Yes' or 'No')</t>
  </si>
  <si>
    <t>Prepared
by -</t>
  </si>
  <si>
    <t>Checked 
by -</t>
  </si>
  <si>
    <t>COLOR</t>
  </si>
  <si>
    <t>Date</t>
  </si>
  <si>
    <t>VISUAL INSPECTION</t>
  </si>
  <si>
    <t>VISUAL COATING CONDITION</t>
  </si>
  <si>
    <t>Must be free of all paint defects such as Pinholes, Sagging, Gloss-loss, Peel-off etc.</t>
  </si>
  <si>
    <t>SURFACE PREPARATION &amp; 1ST COAT APPLICATION</t>
  </si>
  <si>
    <t>✓ mark as applicable. Can be both also.</t>
  </si>
  <si>
    <t>MS SHEET FABRICATION</t>
  </si>
  <si>
    <t>✓ / Y mark OK</t>
  </si>
  <si>
    <t>Abrasive Blast Cleaning</t>
  </si>
  <si>
    <t>G-40</t>
  </si>
  <si>
    <t>MFG Dt [A]</t>
  </si>
  <si>
    <t>MFG Dt [B]</t>
  </si>
  <si>
    <t>STRIPE COAT</t>
  </si>
  <si>
    <t>SIMRAN TECHNOCRATS</t>
  </si>
  <si>
    <t>WINERGY</t>
  </si>
  <si>
    <t>FLENDER</t>
  </si>
  <si>
    <t>Hempadur Quattro 17634</t>
  </si>
  <si>
    <t>RAL 7032</t>
  </si>
  <si>
    <t>SYSTEM</t>
  </si>
  <si>
    <t>GENERIC TYPE</t>
  </si>
  <si>
    <t>BRAND NAME</t>
  </si>
  <si>
    <t>NDFT µ</t>
  </si>
  <si>
    <t>RANGE [µ]</t>
  </si>
  <si>
    <t>C4 High</t>
  </si>
  <si>
    <t>2K Ep Primer</t>
  </si>
  <si>
    <t>48 ~ 120</t>
  </si>
  <si>
    <t>96 ~ 240</t>
  </si>
  <si>
    <t>2K Acri PU Finish</t>
  </si>
  <si>
    <t>Hempathane HS 55610</t>
  </si>
  <si>
    <t>Total DFT µ</t>
  </si>
  <si>
    <t>192 ~ 480</t>
  </si>
  <si>
    <t>C3 High</t>
  </si>
  <si>
    <t>144 ~ 360</t>
  </si>
  <si>
    <t>Start</t>
  </si>
  <si>
    <t>ID</t>
  </si>
  <si>
    <t xml:space="preserve">REMARKS </t>
  </si>
  <si>
    <t>CUSTOMER</t>
  </si>
  <si>
    <t>DRWG. NO.</t>
  </si>
  <si>
    <t>% R H</t>
  </si>
  <si>
    <r>
      <t>Ambient T</t>
    </r>
    <r>
      <rPr>
        <b/>
        <i/>
        <vertAlign val="superscript"/>
        <sz val="10"/>
        <color theme="1"/>
        <rFont val="Calibri"/>
        <family val="2"/>
        <scheme val="minor"/>
      </rPr>
      <t>0</t>
    </r>
  </si>
  <si>
    <r>
      <t>Steel T</t>
    </r>
    <r>
      <rPr>
        <b/>
        <i/>
        <vertAlign val="superscript"/>
        <sz val="10"/>
        <color theme="1"/>
        <rFont val="Calibri"/>
        <family val="2"/>
        <scheme val="minor"/>
      </rPr>
      <t>0</t>
    </r>
  </si>
  <si>
    <r>
      <t>Dew P T</t>
    </r>
    <r>
      <rPr>
        <b/>
        <i/>
        <vertAlign val="superscript"/>
        <sz val="10"/>
        <color theme="1"/>
        <rFont val="Calibri"/>
        <family val="2"/>
        <scheme val="minor"/>
      </rPr>
      <t>0</t>
    </r>
  </si>
  <si>
    <r>
      <t xml:space="preserve">WEATHER CONDITION </t>
    </r>
    <r>
      <rPr>
        <b/>
        <vertAlign val="superscript"/>
        <sz val="10"/>
        <color theme="1"/>
        <rFont val="Calibri"/>
        <family val="2"/>
        <scheme val="minor"/>
      </rPr>
      <t>0</t>
    </r>
    <r>
      <rPr>
        <b/>
        <sz val="10"/>
        <color theme="1"/>
        <rFont val="Calibri"/>
        <family val="2"/>
        <scheme val="minor"/>
      </rPr>
      <t xml:space="preserve">C </t>
    </r>
  </si>
  <si>
    <t>DFT / FINAL INSPECTION</t>
  </si>
  <si>
    <t>SYSTEM APPLICABLE</t>
  </si>
  <si>
    <t xml:space="preserve">Inside </t>
  </si>
  <si>
    <t xml:space="preserve">Outside  </t>
  </si>
  <si>
    <t xml:space="preserve">Time  </t>
  </si>
  <si>
    <t xml:space="preserve">Satisfactory  </t>
  </si>
  <si>
    <t xml:space="preserve">not Satisfactory </t>
  </si>
  <si>
    <t xml:space="preserve">REMARKS  </t>
  </si>
  <si>
    <r>
      <t xml:space="preserve">DFT </t>
    </r>
    <r>
      <rPr>
        <b/>
        <sz val="10"/>
        <color theme="1"/>
        <rFont val="Nirmala UI"/>
        <family val="2"/>
      </rPr>
      <t>µ</t>
    </r>
    <r>
      <rPr>
        <b/>
        <i/>
        <sz val="10"/>
        <color theme="1"/>
        <rFont val="Calibri"/>
        <family val="2"/>
        <scheme val="minor"/>
      </rPr>
      <t xml:space="preserve">
[In]</t>
    </r>
  </si>
  <si>
    <r>
      <t xml:space="preserve">DFT </t>
    </r>
    <r>
      <rPr>
        <b/>
        <sz val="10"/>
        <color theme="1"/>
        <rFont val="Nirmala UI"/>
        <family val="2"/>
      </rPr>
      <t>µ</t>
    </r>
    <r>
      <rPr>
        <b/>
        <i/>
        <sz val="10"/>
        <color theme="1"/>
        <rFont val="Calibri"/>
        <family val="2"/>
        <scheme val="minor"/>
      </rPr>
      <t xml:space="preserve">
[Out]</t>
    </r>
  </si>
  <si>
    <t>MIN</t>
  </si>
  <si>
    <t>MAX</t>
  </si>
  <si>
    <t>AVG</t>
  </si>
  <si>
    <t xml:space="preserve">PROJECT </t>
  </si>
  <si>
    <t xml:space="preserve">ORDER CODE </t>
  </si>
  <si>
    <t xml:space="preserve">DELIVERY BATCH </t>
  </si>
  <si>
    <t xml:space="preserve">Insp Date </t>
  </si>
  <si>
    <t xml:space="preserve">Time </t>
  </si>
  <si>
    <t xml:space="preserve">Item </t>
  </si>
  <si>
    <t xml:space="preserve">ID </t>
  </si>
  <si>
    <t xml:space="preserve">I. STEEL PREPARATION  </t>
  </si>
  <si>
    <t xml:space="preserve">Grade </t>
  </si>
  <si>
    <t>All Notches, Spatter, Rough Welds, Sharp Edges, Corners &amp; Defects to be ground smooth for better paint coverage. P-2 GRADE  ISO 8501-3</t>
  </si>
  <si>
    <t xml:space="preserve">Surface Visual </t>
  </si>
  <si>
    <t xml:space="preserve">II. DE-GREASING  </t>
  </si>
  <si>
    <t xml:space="preserve">Carried out </t>
  </si>
  <si>
    <t xml:space="preserve">III. SURFACE PREPARATION </t>
  </si>
  <si>
    <t xml:space="preserve">Method  </t>
  </si>
  <si>
    <t xml:space="preserve">Grade Achieved (ISO 8501-1) </t>
  </si>
  <si>
    <t xml:space="preserve">Grit Size  </t>
  </si>
  <si>
    <t xml:space="preserve">Profile (comparator G) </t>
  </si>
  <si>
    <t xml:space="preserve">IV. 1ST COAT APPLICATION </t>
  </si>
  <si>
    <t xml:space="preserve">Finish </t>
  </si>
  <si>
    <t xml:space="preserve">Before Painting </t>
  </si>
  <si>
    <t xml:space="preserve">Mechanical Agitation  </t>
  </si>
  <si>
    <t xml:space="preserve">Viscosity (s)  </t>
  </si>
  <si>
    <t xml:space="preserve">WFT µ  </t>
  </si>
  <si>
    <t>Verification with Water Break Test -</t>
  </si>
  <si>
    <r>
      <t xml:space="preserve">Dust Sample Tape  </t>
    </r>
    <r>
      <rPr>
        <sz val="8"/>
        <color theme="1"/>
        <rFont val="Calibri"/>
        <family val="2"/>
        <scheme val="minor"/>
      </rPr>
      <t>Max. acceptable size 2 / density 2</t>
    </r>
  </si>
  <si>
    <t>Y</t>
  </si>
  <si>
    <t>YES</t>
  </si>
  <si>
    <t>NO</t>
  </si>
  <si>
    <t>NP</t>
  </si>
  <si>
    <t>SA 2.5</t>
  </si>
  <si>
    <r>
      <t xml:space="preserve">MEDIUM / 45 ~ 75 </t>
    </r>
    <r>
      <rPr>
        <sz val="10"/>
        <color theme="1"/>
        <rFont val="Nirmala UI"/>
        <family val="2"/>
      </rPr>
      <t>µ</t>
    </r>
  </si>
  <si>
    <t>AIR SPRAY</t>
  </si>
  <si>
    <t>-</t>
  </si>
  <si>
    <t>yes</t>
  </si>
  <si>
    <t>80 ~ 100 mic</t>
  </si>
  <si>
    <t>K Deshpande 
NACE CIP Level 2 certified</t>
  </si>
  <si>
    <t>C3 HIGH</t>
  </si>
  <si>
    <t>N.A.</t>
  </si>
  <si>
    <t>ITEM</t>
  </si>
  <si>
    <t>Coating</t>
  </si>
  <si>
    <t>TIME</t>
  </si>
  <si>
    <r>
      <t xml:space="preserve">WEATHER </t>
    </r>
    <r>
      <rPr>
        <b/>
        <vertAlign val="superscript"/>
        <sz val="9"/>
        <color theme="1"/>
        <rFont val="Calibri"/>
        <family val="2"/>
        <scheme val="minor"/>
      </rPr>
      <t>0</t>
    </r>
    <r>
      <rPr>
        <b/>
        <sz val="9"/>
        <color theme="1"/>
        <rFont val="Calibri"/>
        <family val="2"/>
        <scheme val="minor"/>
      </rPr>
      <t>C</t>
    </r>
  </si>
  <si>
    <t>THINNER</t>
  </si>
  <si>
    <t>TYPE</t>
  </si>
  <si>
    <t>Process</t>
  </si>
  <si>
    <t>Hrs</t>
  </si>
  <si>
    <r>
      <t>Amb T</t>
    </r>
    <r>
      <rPr>
        <b/>
        <vertAlign val="superscript"/>
        <sz val="9"/>
        <color theme="1"/>
        <rFont val="Calibri"/>
        <family val="2"/>
        <scheme val="minor"/>
      </rPr>
      <t>0</t>
    </r>
  </si>
  <si>
    <r>
      <t>Steel T</t>
    </r>
    <r>
      <rPr>
        <b/>
        <vertAlign val="superscript"/>
        <sz val="9"/>
        <color theme="1"/>
        <rFont val="Calibri"/>
        <family val="2"/>
        <scheme val="minor"/>
      </rPr>
      <t>0</t>
    </r>
  </si>
  <si>
    <r>
      <t>Dw P T</t>
    </r>
    <r>
      <rPr>
        <b/>
        <vertAlign val="superscript"/>
        <sz val="9"/>
        <color theme="1"/>
        <rFont val="Calibri"/>
        <family val="2"/>
        <scheme val="minor"/>
      </rPr>
      <t>0</t>
    </r>
  </si>
  <si>
    <t>Product</t>
  </si>
  <si>
    <t>Part A</t>
  </si>
  <si>
    <t xml:space="preserve">Part B </t>
  </si>
  <si>
    <t>NO.</t>
  </si>
  <si>
    <t>BATCH</t>
  </si>
  <si>
    <t>Item ID</t>
  </si>
  <si>
    <t>1st</t>
  </si>
  <si>
    <t>Hempadur Quattro 17634 Grey</t>
  </si>
  <si>
    <t>2nd</t>
  </si>
  <si>
    <t>3rd</t>
  </si>
  <si>
    <t>Batch</t>
  </si>
  <si>
    <t>Mfg Dt</t>
  </si>
  <si>
    <t xml:space="preserve">BATCH </t>
  </si>
  <si>
    <t>Hempel Thinner 08450</t>
  </si>
  <si>
    <t>Hempadur Quattro 17634-11480</t>
  </si>
  <si>
    <t>Grey</t>
  </si>
  <si>
    <t>RAL 22090</t>
  </si>
  <si>
    <t>RAL 7011/    
RAL 7030</t>
  </si>
  <si>
    <t>Hempadur Quattro 22090-Beige</t>
  </si>
  <si>
    <t>08450</t>
  </si>
  <si>
    <t>Spiral Air Duct Cap</t>
  </si>
  <si>
    <t>08080</t>
  </si>
  <si>
    <t>C4 HIGH</t>
  </si>
  <si>
    <t>Hempel Thinner 08080</t>
  </si>
  <si>
    <t>A5E46224446
(WY000_9423E)</t>
  </si>
  <si>
    <t>Hempel Quattor 22090</t>
  </si>
  <si>
    <t>4500059401, 4500057230</t>
  </si>
  <si>
    <t>ST-A5E46224446-2603-AQ</t>
  </si>
  <si>
    <t>21.04.2026</t>
  </si>
  <si>
    <t>2604-02</t>
  </si>
  <si>
    <t>605010206</t>
  </si>
  <si>
    <t>08.01.2026</t>
  </si>
  <si>
    <t>075115464</t>
  </si>
  <si>
    <t>04.12.2025</t>
  </si>
  <si>
    <t>076035178</t>
  </si>
  <si>
    <t>13.03.2026</t>
  </si>
  <si>
    <t>075115092</t>
  </si>
  <si>
    <t>03.12.2025</t>
  </si>
  <si>
    <t>075105164</t>
  </si>
  <si>
    <t>17.10.2025</t>
  </si>
  <si>
    <t>075115140</t>
  </si>
  <si>
    <t>25.11.2025</t>
  </si>
  <si>
    <t>075125359</t>
  </si>
  <si>
    <t>09.12.2025</t>
  </si>
  <si>
    <t>29 sec</t>
  </si>
  <si>
    <t>23.04.2026</t>
  </si>
  <si>
    <t>25.04.2026</t>
  </si>
  <si>
    <t>02.05.2026</t>
  </si>
  <si>
    <t>2605-02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</si>
</sst>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0.0"/>
    <numFmt numFmtId="166" formatCode="[$-14009]dd/mm/yy;@"/>
    <numFmt numFmtId="167" formatCode="dd\.mm\.yyyy;@"/>
  </numFmts>
  <fonts count="31">
    <font>
      <sz val="9"/>
      <color theme="1"/>
      <name val="NIRMALA UI"/>
      <family val="2"/>
    </font>
    <font>
      <sz val="10"/>
      <color theme="1"/>
      <name val="Nirmala U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b/>
      <i/>
      <vertAlign val="superscript"/>
      <sz val="10"/>
      <color theme="1"/>
      <name val="Calibri"/>
      <family val="2"/>
      <scheme val="minor"/>
    </font>
    <font>
      <b/>
      <sz val="10"/>
      <color theme="4" tint="-0.499984740745262"/>
      <name val="Calibri"/>
      <family val="2"/>
      <scheme val="minor"/>
    </font>
    <font>
      <b/>
      <i/>
      <sz val="10"/>
      <color theme="4" tint="-0.499984740745262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"/>
      <color theme="1"/>
      <name val="Nirmala UI"/>
      <family val="2"/>
    </font>
    <font>
      <sz val="10"/>
      <color theme="1"/>
      <name val="Calibri"/>
      <family val="2"/>
    </font>
    <font>
      <b/>
      <i/>
      <sz val="10"/>
      <name val="Calibri"/>
      <family val="2"/>
      <scheme val="minor"/>
    </font>
    <font>
      <sz val="10"/>
      <color theme="4" tint="-0.499984740745262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theme="8" tint="-0.499984740745262"/>
      <name val="Calibri"/>
      <family val="2"/>
      <scheme val="minor"/>
    </font>
    <font>
      <b/>
      <sz val="10"/>
      <color theme="5" tint="-0.499984740745262"/>
      <name val="Calibri"/>
      <family val="2"/>
      <scheme val="minor"/>
    </font>
    <font>
      <i/>
      <sz val="7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9"/>
      <color theme="1"/>
      <name val="Calibri"/>
      <family val="2"/>
    </font>
    <font>
      <sz val="9"/>
      <color theme="4" tint="-0.499984740745262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vertAlign val="superscript"/>
      <sz val="9"/>
      <color theme="1"/>
      <name val="Calibri"/>
      <family val="2"/>
      <scheme val="minor"/>
    </font>
    <font>
      <b/>
      <sz val="8"/>
      <color rgb="FFC00000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9"/>
      <color theme="1"/>
      <name val="Times New Roman"/>
      <family val="1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/>
      <top style="thin">
        <color auto="1"/>
      </top>
      <bottom style="thin">
        <color theme="0" tint="-0.24994659260841701"/>
      </bottom>
      <diagonal/>
    </border>
    <border>
      <left/>
      <right/>
      <top style="thin">
        <color auto="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auto="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theme="0" tint="-0.34998626667073579"/>
      </right>
      <top style="thin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thin">
        <color theme="0" tint="-0.34998626667073579"/>
      </bottom>
      <diagonal/>
    </border>
    <border>
      <left style="thin">
        <color auto="1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auto="1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auto="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auto="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auto="1"/>
      </bottom>
      <diagonal/>
    </border>
    <border>
      <left style="medium">
        <color indexed="64"/>
      </left>
      <right style="thin">
        <color theme="0" tint="-0.34998626667073579"/>
      </right>
      <top style="thin">
        <color auto="1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auto="1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auto="1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auto="1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5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18" fillId="0" borderId="8" xfId="0" applyFont="1" applyBorder="1" applyAlignment="1">
      <alignment vertical="center"/>
    </xf>
    <xf numFmtId="0" fontId="18" fillId="0" borderId="9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2" fillId="0" borderId="9" xfId="0" applyFont="1" applyBorder="1" applyAlignment="1">
      <alignment horizontal="right" vertical="center"/>
    </xf>
    <xf numFmtId="0" fontId="2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18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left" vertical="center"/>
    </xf>
    <xf numFmtId="0" fontId="2" fillId="0" borderId="13" xfId="0" applyFont="1" applyBorder="1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11" fillId="0" borderId="0" xfId="0" quotePrefix="1" applyFont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4" fillId="0" borderId="34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0" fontId="9" fillId="0" borderId="34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3" fillId="0" borderId="34" xfId="0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18" fillId="0" borderId="67" xfId="0" applyFont="1" applyBorder="1" applyAlignment="1">
      <alignment horizontal="left" vertical="center"/>
    </xf>
    <xf numFmtId="0" fontId="3" fillId="0" borderId="36" xfId="0" applyFont="1" applyBorder="1" applyAlignment="1">
      <alignment horizontal="left" vertical="center"/>
    </xf>
    <xf numFmtId="0" fontId="3" fillId="0" borderId="34" xfId="0" applyFont="1" applyBorder="1" applyAlignment="1">
      <alignment horizontal="left" vertical="center"/>
    </xf>
    <xf numFmtId="0" fontId="3" fillId="0" borderId="35" xfId="0" applyFont="1" applyBorder="1" applyAlignment="1">
      <alignment horizontal="left" vertical="center"/>
    </xf>
    <xf numFmtId="0" fontId="3" fillId="0" borderId="32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19" fillId="0" borderId="32" xfId="0" applyFont="1" applyBorder="1" applyAlignment="1">
      <alignment horizontal="left" vertical="center"/>
    </xf>
    <xf numFmtId="0" fontId="19" fillId="0" borderId="67" xfId="0" applyFont="1" applyBorder="1" applyAlignment="1">
      <alignment horizontal="left" vertical="center"/>
    </xf>
    <xf numFmtId="0" fontId="19" fillId="0" borderId="32" xfId="0" applyFont="1" applyBorder="1" applyAlignment="1">
      <alignment horizontal="center" vertical="center"/>
    </xf>
    <xf numFmtId="0" fontId="2" fillId="0" borderId="46" xfId="0" applyFont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4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165" fontId="11" fillId="0" borderId="9" xfId="0" applyNumberFormat="1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1" fillId="0" borderId="71" xfId="0" applyFont="1" applyBorder="1" applyAlignment="1">
      <alignment horizontal="center" vertical="center" wrapText="1"/>
    </xf>
    <xf numFmtId="0" fontId="25" fillId="0" borderId="72" xfId="0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 wrapText="1"/>
    </xf>
    <xf numFmtId="0" fontId="25" fillId="0" borderId="77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/>
    </xf>
    <xf numFmtId="0" fontId="25" fillId="0" borderId="8" xfId="0" quotePrefix="1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166" fontId="29" fillId="0" borderId="9" xfId="0" applyNumberFormat="1" applyFont="1" applyBorder="1" applyAlignment="1">
      <alignment horizontal="center" vertical="center"/>
    </xf>
    <xf numFmtId="20" fontId="29" fillId="0" borderId="9" xfId="0" quotePrefix="1" applyNumberFormat="1" applyFont="1" applyBorder="1" applyAlignment="1">
      <alignment horizontal="center" vertical="center"/>
    </xf>
    <xf numFmtId="165" fontId="29" fillId="0" borderId="9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20" fontId="29" fillId="0" borderId="0" xfId="0" quotePrefix="1" applyNumberFormat="1" applyFont="1" applyAlignment="1">
      <alignment horizontal="center" vertical="center"/>
    </xf>
    <xf numFmtId="165" fontId="29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49" fontId="11" fillId="0" borderId="0" xfId="0" quotePrefix="1" applyNumberFormat="1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49" fontId="11" fillId="0" borderId="9" xfId="0" quotePrefix="1" applyNumberFormat="1" applyFont="1" applyBorder="1" applyAlignment="1">
      <alignment horizontal="center" vertical="center"/>
    </xf>
    <xf numFmtId="49" fontId="11" fillId="0" borderId="9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20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1" fillId="0" borderId="33" xfId="0" applyNumberFormat="1" applyFont="1" applyBorder="1" applyAlignment="1">
      <alignment horizontal="center" vertical="center"/>
    </xf>
    <xf numFmtId="49" fontId="11" fillId="0" borderId="3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0" borderId="81" xfId="0" applyFont="1" applyBorder="1" applyAlignment="1">
      <alignment vertical="center"/>
    </xf>
    <xf numFmtId="0" fontId="3" fillId="0" borderId="82" xfId="0" applyFont="1" applyBorder="1" applyAlignment="1">
      <alignment vertical="center"/>
    </xf>
    <xf numFmtId="0" fontId="3" fillId="0" borderId="83" xfId="0" applyFont="1" applyBorder="1" applyAlignment="1">
      <alignment vertical="center"/>
    </xf>
    <xf numFmtId="0" fontId="24" fillId="0" borderId="34" xfId="0" applyFont="1" applyBorder="1" applyAlignment="1">
      <alignment horizontal="center" vertical="center" wrapText="1"/>
    </xf>
    <xf numFmtId="0" fontId="24" fillId="0" borderId="32" xfId="0" applyFont="1" applyBorder="1" applyAlignment="1">
      <alignment horizontal="center" vertical="center" wrapText="1"/>
    </xf>
    <xf numFmtId="0" fontId="24" fillId="0" borderId="67" xfId="0" applyFont="1" applyBorder="1" applyAlignment="1">
      <alignment horizontal="center" vertical="center" wrapText="1"/>
    </xf>
    <xf numFmtId="0" fontId="25" fillId="0" borderId="74" xfId="0" applyFont="1" applyBorder="1" applyAlignment="1">
      <alignment horizontal="center" vertical="center"/>
    </xf>
    <xf numFmtId="0" fontId="25" fillId="0" borderId="75" xfId="0" applyFont="1" applyBorder="1" applyAlignment="1">
      <alignment horizontal="center" vertical="center"/>
    </xf>
    <xf numFmtId="0" fontId="25" fillId="0" borderId="73" xfId="0" applyFont="1" applyBorder="1" applyAlignment="1">
      <alignment horizontal="center" vertical="center"/>
    </xf>
    <xf numFmtId="0" fontId="25" fillId="0" borderId="72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2" fillId="3" borderId="39" xfId="0" applyFont="1" applyFill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23" fillId="0" borderId="20" xfId="0" quotePrefix="1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9" fillId="3" borderId="42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11" fillId="0" borderId="2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20" fontId="11" fillId="0" borderId="24" xfId="0" quotePrefix="1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164" fontId="11" fillId="0" borderId="24" xfId="0" applyNumberFormat="1" applyFont="1" applyBorder="1" applyAlignment="1">
      <alignment horizontal="center" vertical="center"/>
    </xf>
    <xf numFmtId="164" fontId="11" fillId="0" borderId="10" xfId="0" applyNumberFormat="1" applyFont="1" applyBorder="1" applyAlignment="1">
      <alignment horizontal="center" vertical="center"/>
    </xf>
    <xf numFmtId="164" fontId="11" fillId="0" borderId="25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 wrapText="1"/>
    </xf>
    <xf numFmtId="0" fontId="20" fillId="3" borderId="49" xfId="0" applyFont="1" applyFill="1" applyBorder="1" applyAlignment="1">
      <alignment horizontal="center" vertical="center" wrapText="1"/>
    </xf>
    <xf numFmtId="0" fontId="4" fillId="3" borderId="44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5" fillId="3" borderId="29" xfId="0" quotePrefix="1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2" fillId="3" borderId="62" xfId="0" applyFont="1" applyFill="1" applyBorder="1" applyAlignment="1">
      <alignment horizontal="center" vertical="center"/>
    </xf>
    <xf numFmtId="0" fontId="10" fillId="3" borderId="55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6" fillId="0" borderId="17" xfId="0" applyFont="1" applyBorder="1" applyAlignment="1">
      <alignment vertical="center"/>
    </xf>
    <xf numFmtId="0" fontId="16" fillId="0" borderId="56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49" fontId="3" fillId="0" borderId="11" xfId="0" quotePrefix="1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14" fontId="3" fillId="0" borderId="11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0" xfId="0" quotePrefix="1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4" borderId="20" xfId="0" quotePrefix="1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43" xfId="0" applyFont="1" applyFill="1" applyBorder="1" applyAlignment="1">
      <alignment horizontal="center" vertical="center"/>
    </xf>
    <xf numFmtId="0" fontId="3" fillId="0" borderId="20" xfId="0" quotePrefix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14" fontId="4" fillId="4" borderId="20" xfId="0" applyNumberFormat="1" applyFont="1" applyFill="1" applyBorder="1" applyAlignment="1">
      <alignment horizontal="center" vertical="center"/>
    </xf>
    <xf numFmtId="0" fontId="3" fillId="4" borderId="42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6" fillId="3" borderId="60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20" fontId="3" fillId="0" borderId="17" xfId="0" applyNumberFormat="1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2" fillId="3" borderId="5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9" fillId="3" borderId="55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left" vertical="top"/>
    </xf>
    <xf numFmtId="0" fontId="2" fillId="0" borderId="58" xfId="0" applyFont="1" applyBorder="1" applyAlignment="1">
      <alignment horizontal="left" vertical="top"/>
    </xf>
    <xf numFmtId="0" fontId="2" fillId="3" borderId="57" xfId="0" applyFont="1" applyFill="1" applyBorder="1" applyAlignment="1">
      <alignment horizontal="left" vertical="center"/>
    </xf>
    <xf numFmtId="0" fontId="2" fillId="3" borderId="11" xfId="0" applyFont="1" applyFill="1" applyBorder="1" applyAlignment="1">
      <alignment horizontal="left" vertical="center"/>
    </xf>
    <xf numFmtId="0" fontId="4" fillId="3" borderId="17" xfId="0" applyFont="1" applyFill="1" applyBorder="1" applyAlignment="1">
      <alignment vertical="center"/>
    </xf>
    <xf numFmtId="0" fontId="9" fillId="3" borderId="55" xfId="0" applyFont="1" applyFill="1" applyBorder="1" applyAlignment="1">
      <alignment vertical="center"/>
    </xf>
    <xf numFmtId="0" fontId="9" fillId="3" borderId="17" xfId="0" applyFont="1" applyFill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2" fillId="3" borderId="1" xfId="0" quotePrefix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4" fillId="3" borderId="5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9" fillId="3" borderId="48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22" fillId="3" borderId="12" xfId="0" applyFont="1" applyFill="1" applyBorder="1" applyAlignment="1">
      <alignment horizontal="center" vertical="center"/>
    </xf>
    <xf numFmtId="0" fontId="22" fillId="3" borderId="6" xfId="0" applyFont="1" applyFill="1" applyBorder="1" applyAlignment="1">
      <alignment horizontal="center" vertical="center"/>
    </xf>
    <xf numFmtId="0" fontId="22" fillId="3" borderId="51" xfId="0" applyFont="1" applyFill="1" applyBorder="1" applyAlignment="1">
      <alignment horizontal="center" vertical="center"/>
    </xf>
    <xf numFmtId="0" fontId="9" fillId="3" borderId="5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3" borderId="5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3" fillId="0" borderId="57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58" xfId="0" applyFont="1" applyBorder="1" applyAlignment="1">
      <alignment vertical="center"/>
    </xf>
    <xf numFmtId="0" fontId="11" fillId="0" borderId="11" xfId="0" applyFont="1" applyBorder="1" applyAlignment="1">
      <alignment wrapText="1"/>
    </xf>
    <xf numFmtId="0" fontId="11" fillId="0" borderId="11" xfId="0" applyFont="1" applyBorder="1"/>
    <xf numFmtId="0" fontId="11" fillId="0" borderId="65" xfId="0" applyFont="1" applyBorder="1"/>
    <xf numFmtId="0" fontId="10" fillId="3" borderId="57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3" borderId="64" xfId="0" applyFont="1" applyFill="1" applyBorder="1" applyAlignment="1">
      <alignment horizontal="center" vertical="center" wrapText="1"/>
    </xf>
    <xf numFmtId="0" fontId="10" fillId="3" borderId="65" xfId="0" applyFont="1" applyFill="1" applyBorder="1" applyAlignment="1">
      <alignment horizontal="center" vertical="center" wrapText="1"/>
    </xf>
    <xf numFmtId="0" fontId="16" fillId="0" borderId="11" xfId="0" applyFont="1" applyBorder="1" applyAlignment="1">
      <alignment vertical="center" wrapText="1"/>
    </xf>
    <xf numFmtId="0" fontId="16" fillId="0" borderId="58" xfId="0" applyFont="1" applyBorder="1" applyAlignment="1">
      <alignment vertical="center" wrapText="1"/>
    </xf>
    <xf numFmtId="0" fontId="16" fillId="0" borderId="65" xfId="0" applyFont="1" applyBorder="1" applyAlignment="1">
      <alignment vertical="center" wrapText="1"/>
    </xf>
    <xf numFmtId="0" fontId="16" fillId="0" borderId="66" xfId="0" applyFont="1" applyBorder="1" applyAlignment="1">
      <alignment vertical="center" wrapText="1"/>
    </xf>
    <xf numFmtId="0" fontId="3" fillId="0" borderId="65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9" fillId="3" borderId="46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47" xfId="0" applyFont="1" applyFill="1" applyBorder="1" applyAlignment="1">
      <alignment horizontal="center" vertical="center"/>
    </xf>
    <xf numFmtId="0" fontId="2" fillId="3" borderId="59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4" fillId="3" borderId="55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167" fontId="30" fillId="0" borderId="78" xfId="0" applyNumberFormat="1" applyFont="1" applyBorder="1" applyAlignment="1">
      <alignment horizontal="center" vertical="center" shrinkToFit="1"/>
    </xf>
    <xf numFmtId="167" fontId="30" fillId="0" borderId="79" xfId="0" applyNumberFormat="1" applyFont="1" applyBorder="1" applyAlignment="1">
      <alignment horizontal="center" vertical="center" shrinkToFit="1"/>
    </xf>
    <xf numFmtId="167" fontId="30" fillId="0" borderId="80" xfId="0" applyNumberFormat="1" applyFont="1" applyBorder="1" applyAlignment="1">
      <alignment horizontal="center" vertical="center" shrinkToFit="1"/>
    </xf>
    <xf numFmtId="0" fontId="3" fillId="0" borderId="19" xfId="0" applyFont="1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49" fontId="3" fillId="0" borderId="0" xfId="0" quotePrefix="1" applyNumberFormat="1" applyFont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0" fillId="2" borderId="55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70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9" fillId="3" borderId="68" xfId="0" applyFont="1" applyFill="1" applyBorder="1" applyAlignment="1">
      <alignment horizontal="center" vertical="center"/>
    </xf>
    <xf numFmtId="0" fontId="19" fillId="3" borderId="15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18" fillId="3" borderId="0" xfId="0" applyFont="1" applyFill="1" applyAlignment="1">
      <alignment vertical="center"/>
    </xf>
    <xf numFmtId="0" fontId="11" fillId="0" borderId="0" xfId="0" applyFont="1" applyAlignment="1">
      <alignment vertical="center" wrapText="1"/>
    </xf>
    <xf numFmtId="20" fontId="5" fillId="3" borderId="17" xfId="0" applyNumberFormat="1" applyFont="1" applyFill="1" applyBorder="1" applyAlignment="1">
      <alignment horizontal="center" vertical="center"/>
    </xf>
    <xf numFmtId="0" fontId="5" fillId="3" borderId="56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2" fillId="3" borderId="70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66312</xdr:colOff>
      <xdr:row>30</xdr:row>
      <xdr:rowOff>278423</xdr:rowOff>
    </xdr:from>
    <xdr:to>
      <xdr:col>33</xdr:col>
      <xdr:colOff>29390</xdr:colOff>
      <xdr:row>33</xdr:row>
      <xdr:rowOff>279377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A55A44-ADC0-4168-9DFD-8AF011E149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982" b="89834" l="5249" r="89917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9761" r="45409" b="14635"/>
        <a:stretch/>
      </xdr:blipFill>
      <xdr:spPr>
        <a:xfrm>
          <a:off x="4762870" y="8411308"/>
          <a:ext cx="974193" cy="924146"/>
        </a:xfrm>
        <a:prstGeom prst="rect">
          <a:avLst/>
        </a:prstGeom>
      </xdr:spPr>
    </xdr:pic>
    <xdr:clientData/>
  </xdr:twoCellAnchor>
  <xdr:twoCellAnchor editAs="oneCell">
    <xdr:from>
      <xdr:col>29</xdr:col>
      <xdr:colOff>44332</xdr:colOff>
      <xdr:row>32</xdr:row>
      <xdr:rowOff>0</xdr:rowOff>
    </xdr:from>
    <xdr:to>
      <xdr:col>31</xdr:col>
      <xdr:colOff>121424</xdr:colOff>
      <xdr:row>32</xdr:row>
      <xdr:rowOff>280703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BE64AD-78CE-4E4C-8C31-2827400B5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77928" y="8748346"/>
          <a:ext cx="414131" cy="2807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158750</xdr:colOff>
      <xdr:row>29</xdr:row>
      <xdr:rowOff>124202</xdr:rowOff>
    </xdr:from>
    <xdr:to>
      <xdr:col>33</xdr:col>
      <xdr:colOff>95242</xdr:colOff>
      <xdr:row>33</xdr:row>
      <xdr:rowOff>8281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93B9B8-D456-4F5F-9461-0426629EC8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982" b="89834" l="5249" r="89917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19761" r="45409" b="14635"/>
        <a:stretch/>
      </xdr:blipFill>
      <xdr:spPr>
        <a:xfrm>
          <a:off x="4699000" y="7998202"/>
          <a:ext cx="1174742" cy="1114392"/>
        </a:xfrm>
        <a:prstGeom prst="rect">
          <a:avLst/>
        </a:prstGeom>
      </xdr:spPr>
    </xdr:pic>
    <xdr:clientData/>
  </xdr:twoCellAnchor>
  <xdr:twoCellAnchor editAs="oneCell">
    <xdr:from>
      <xdr:col>29</xdr:col>
      <xdr:colOff>39688</xdr:colOff>
      <xdr:row>30</xdr:row>
      <xdr:rowOff>203577</xdr:rowOff>
    </xdr:from>
    <xdr:to>
      <xdr:col>31</xdr:col>
      <xdr:colOff>104569</xdr:colOff>
      <xdr:row>31</xdr:row>
      <xdr:rowOff>166780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A11795-37B7-4471-9A29-FAB471BFE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03813" y="8395077"/>
          <a:ext cx="414131" cy="2807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35"/>
  <sheetViews>
    <sheetView tabSelected="1" view="pageBreakPreview" zoomScale="96" zoomScaleNormal="115" zoomScaleSheetLayoutView="145" workbookViewId="0">
      <selection activeCell="Z3" sqref="Z3:AI3"/>
    </sheetView>
  </sheetViews>
  <sheetFormatPr defaultColWidth="5.875" defaultRowHeight="24" customHeight="1"/>
  <cols>
    <col min="1" max="9" width="3" style="1" customWidth="1"/>
    <col min="10" max="10" width="4" style="1" customWidth="1"/>
    <col min="11" max="23" width="3" style="1" customWidth="1"/>
    <col min="24" max="24" width="4.5" style="1" customWidth="1"/>
    <col min="25" max="35" width="3" style="1" customWidth="1"/>
    <col min="36" max="16384" width="5.875" style="1"/>
  </cols>
  <sheetData>
    <row r="1" spans="1:35" ht="24" customHeight="1">
      <c r="A1" s="237" t="s">
        <v>32</v>
      </c>
      <c r="B1" s="238"/>
      <c r="C1" s="238"/>
      <c r="D1" s="238"/>
      <c r="E1" s="238"/>
      <c r="F1" s="238"/>
      <c r="G1" s="238"/>
      <c r="H1" s="238"/>
      <c r="I1" s="238"/>
      <c r="J1" s="238"/>
      <c r="K1" s="239"/>
      <c r="L1" s="95" t="s">
        <v>75</v>
      </c>
      <c r="M1" s="96"/>
      <c r="N1" s="96"/>
      <c r="O1" s="97"/>
      <c r="P1" s="98" t="s">
        <v>33</v>
      </c>
      <c r="Q1" s="99"/>
      <c r="R1" s="99"/>
      <c r="S1" s="99"/>
      <c r="T1" s="99"/>
      <c r="U1" s="99"/>
      <c r="V1" s="99"/>
      <c r="W1" s="100"/>
      <c r="X1" s="101" t="s">
        <v>55</v>
      </c>
      <c r="Y1" s="102"/>
      <c r="Z1" s="102"/>
      <c r="AA1" s="103"/>
      <c r="AB1" s="98" t="s">
        <v>34</v>
      </c>
      <c r="AC1" s="99"/>
      <c r="AD1" s="99"/>
      <c r="AE1" s="99"/>
      <c r="AF1" s="99"/>
      <c r="AG1" s="99"/>
      <c r="AH1" s="99"/>
      <c r="AI1" s="104"/>
    </row>
    <row r="2" spans="1:35" ht="24" customHeight="1">
      <c r="A2" s="108" t="s">
        <v>76</v>
      </c>
      <c r="B2" s="109"/>
      <c r="C2" s="109"/>
      <c r="D2" s="109"/>
      <c r="E2" s="110"/>
      <c r="F2" s="105" t="s">
        <v>151</v>
      </c>
      <c r="G2" s="106"/>
      <c r="H2" s="106"/>
      <c r="I2" s="106"/>
      <c r="J2" s="106"/>
      <c r="K2" s="106"/>
      <c r="L2" s="106"/>
      <c r="M2" s="106"/>
      <c r="N2" s="107"/>
      <c r="O2" s="111" t="s">
        <v>77</v>
      </c>
      <c r="P2" s="109"/>
      <c r="Q2" s="109"/>
      <c r="R2" s="109"/>
      <c r="S2" s="109"/>
      <c r="T2" s="110"/>
      <c r="U2" s="112" t="s">
        <v>154</v>
      </c>
      <c r="V2" s="106"/>
      <c r="W2" s="107"/>
      <c r="X2" s="113" t="s">
        <v>56</v>
      </c>
      <c r="Y2" s="114"/>
      <c r="Z2" s="114"/>
      <c r="AA2" s="115"/>
      <c r="AB2" s="116" t="s">
        <v>149</v>
      </c>
      <c r="AC2" s="117"/>
      <c r="AD2" s="117"/>
      <c r="AE2" s="117"/>
      <c r="AF2" s="117"/>
      <c r="AG2" s="117"/>
      <c r="AH2" s="117"/>
      <c r="AI2" s="118"/>
    </row>
    <row r="3" spans="1:35" ht="24" customHeight="1">
      <c r="A3" s="134" t="s">
        <v>78</v>
      </c>
      <c r="B3" s="135"/>
      <c r="C3" s="135"/>
      <c r="D3" s="120"/>
      <c r="E3" s="124" t="s">
        <v>153</v>
      </c>
      <c r="F3" s="125"/>
      <c r="G3" s="125"/>
      <c r="H3" s="125"/>
      <c r="I3" s="126"/>
      <c r="J3" s="119" t="s">
        <v>79</v>
      </c>
      <c r="K3" s="120"/>
      <c r="L3" s="121">
        <v>0.58333333333333337</v>
      </c>
      <c r="M3" s="122"/>
      <c r="N3" s="123"/>
      <c r="O3" s="119" t="s">
        <v>80</v>
      </c>
      <c r="P3" s="120"/>
      <c r="Q3" s="255" t="s">
        <v>145</v>
      </c>
      <c r="R3" s="122"/>
      <c r="S3" s="122"/>
      <c r="T3" s="122"/>
      <c r="U3" s="122"/>
      <c r="V3" s="122"/>
      <c r="W3" s="123"/>
      <c r="X3" s="119" t="s">
        <v>81</v>
      </c>
      <c r="Y3" s="120"/>
      <c r="Z3" s="127" t="s">
        <v>152</v>
      </c>
      <c r="AA3" s="128"/>
      <c r="AB3" s="128"/>
      <c r="AC3" s="128"/>
      <c r="AD3" s="128"/>
      <c r="AE3" s="128"/>
      <c r="AF3" s="128"/>
      <c r="AG3" s="128"/>
      <c r="AH3" s="128"/>
      <c r="AI3" s="129"/>
    </row>
    <row r="4" spans="1:35" ht="10.199999999999999" customHeight="1">
      <c r="A4" s="24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5"/>
    </row>
    <row r="5" spans="1:35" ht="24" customHeight="1">
      <c r="A5" s="240" t="s">
        <v>23</v>
      </c>
      <c r="B5" s="241"/>
      <c r="C5" s="241"/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1"/>
      <c r="S5" s="241"/>
      <c r="T5" s="241"/>
      <c r="U5" s="241"/>
      <c r="V5" s="241"/>
      <c r="W5" s="241"/>
      <c r="X5" s="241"/>
      <c r="Y5" s="241"/>
      <c r="Z5" s="241"/>
      <c r="AA5" s="241"/>
      <c r="AB5" s="241"/>
      <c r="AC5" s="241"/>
      <c r="AD5" s="241"/>
      <c r="AE5" s="241"/>
      <c r="AF5" s="241"/>
      <c r="AG5" s="241"/>
      <c r="AH5" s="241"/>
      <c r="AI5" s="242"/>
    </row>
    <row r="6" spans="1:35" ht="10.199999999999999" customHeight="1">
      <c r="A6" s="26"/>
      <c r="AI6" s="27"/>
    </row>
    <row r="7" spans="1:35" ht="24" customHeight="1">
      <c r="A7" s="202" t="s">
        <v>82</v>
      </c>
      <c r="B7" s="203"/>
      <c r="C7" s="204"/>
      <c r="D7" s="204"/>
      <c r="E7" s="204"/>
      <c r="F7" s="204"/>
      <c r="G7" s="204"/>
      <c r="H7" s="136" t="s">
        <v>83</v>
      </c>
      <c r="I7" s="137"/>
      <c r="J7" s="138"/>
      <c r="K7" s="130" t="s">
        <v>25</v>
      </c>
      <c r="L7" s="131"/>
      <c r="M7" s="131"/>
      <c r="N7" s="131"/>
      <c r="O7" s="131"/>
      <c r="P7" s="131"/>
      <c r="Q7" s="131"/>
      <c r="R7" s="131"/>
      <c r="S7" s="131"/>
      <c r="T7" s="132" t="s">
        <v>84</v>
      </c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32"/>
      <c r="AI7" s="133"/>
    </row>
    <row r="8" spans="1:35" ht="24" customHeight="1">
      <c r="A8" s="199" t="s">
        <v>85</v>
      </c>
      <c r="B8" s="200"/>
      <c r="C8" s="201"/>
      <c r="D8" s="201"/>
      <c r="E8" s="201"/>
      <c r="F8" s="21"/>
      <c r="G8" s="205" t="s">
        <v>0</v>
      </c>
      <c r="H8" s="206"/>
      <c r="I8" s="200"/>
      <c r="J8" s="189" t="s">
        <v>101</v>
      </c>
      <c r="K8" s="190"/>
      <c r="L8" s="191"/>
      <c r="M8" s="205" t="s">
        <v>1</v>
      </c>
      <c r="N8" s="206"/>
      <c r="O8" s="200"/>
      <c r="P8" s="189" t="s">
        <v>101</v>
      </c>
      <c r="Q8" s="190"/>
      <c r="R8" s="191"/>
      <c r="S8" s="205" t="s">
        <v>2</v>
      </c>
      <c r="T8" s="206"/>
      <c r="U8" s="200"/>
      <c r="V8" s="189" t="s">
        <v>101</v>
      </c>
      <c r="W8" s="190"/>
      <c r="X8" s="191"/>
      <c r="Y8" s="205" t="s">
        <v>3</v>
      </c>
      <c r="Z8" s="206"/>
      <c r="AA8" s="206"/>
      <c r="AB8" s="200"/>
      <c r="AC8" s="219" t="s">
        <v>101</v>
      </c>
      <c r="AD8" s="220"/>
      <c r="AE8" s="221"/>
      <c r="AF8" s="207" t="s">
        <v>26</v>
      </c>
      <c r="AG8" s="208"/>
      <c r="AH8" s="208"/>
      <c r="AI8" s="209"/>
    </row>
    <row r="9" spans="1:35" ht="10.199999999999999" customHeight="1">
      <c r="A9" s="26"/>
      <c r="AI9" s="27"/>
    </row>
    <row r="10" spans="1:35" ht="24" customHeight="1">
      <c r="A10" s="210" t="s">
        <v>86</v>
      </c>
      <c r="B10" s="211"/>
      <c r="C10" s="211"/>
      <c r="D10" s="211"/>
      <c r="E10" s="211"/>
      <c r="F10" s="203"/>
      <c r="G10" s="192" t="s">
        <v>4</v>
      </c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4"/>
      <c r="V10" s="5"/>
      <c r="W10" s="212" t="s">
        <v>87</v>
      </c>
      <c r="X10" s="213"/>
      <c r="Y10" s="213"/>
      <c r="Z10" s="214"/>
      <c r="AA10" s="130" t="s">
        <v>102</v>
      </c>
      <c r="AB10" s="131"/>
      <c r="AC10" s="131"/>
      <c r="AD10" s="215"/>
      <c r="AE10" s="195" t="s">
        <v>15</v>
      </c>
      <c r="AF10" s="195"/>
      <c r="AG10" s="196"/>
      <c r="AH10" s="197"/>
      <c r="AI10" s="198"/>
    </row>
    <row r="11" spans="1:35" ht="24" customHeight="1">
      <c r="A11" s="216" t="s">
        <v>99</v>
      </c>
      <c r="B11" s="217"/>
      <c r="C11" s="217"/>
      <c r="D11" s="217"/>
      <c r="E11" s="217"/>
      <c r="F11" s="217"/>
      <c r="G11" s="217"/>
      <c r="H11" s="217"/>
      <c r="I11" s="217"/>
      <c r="J11" s="217"/>
      <c r="K11" s="217"/>
      <c r="L11" s="218"/>
      <c r="M11" s="205" t="s">
        <v>5</v>
      </c>
      <c r="N11" s="206"/>
      <c r="O11" s="200"/>
      <c r="P11" s="189" t="s">
        <v>103</v>
      </c>
      <c r="Q11" s="190"/>
      <c r="R11" s="191"/>
      <c r="S11" s="205" t="s">
        <v>6</v>
      </c>
      <c r="T11" s="206"/>
      <c r="U11" s="200"/>
      <c r="V11" s="189" t="s">
        <v>104</v>
      </c>
      <c r="W11" s="190"/>
      <c r="X11" s="191"/>
      <c r="Y11" s="205" t="s">
        <v>7</v>
      </c>
      <c r="Z11" s="206"/>
      <c r="AA11" s="200"/>
      <c r="AB11" s="189" t="s">
        <v>102</v>
      </c>
      <c r="AC11" s="190"/>
      <c r="AD11" s="191"/>
      <c r="AE11" s="207" t="s">
        <v>26</v>
      </c>
      <c r="AF11" s="208"/>
      <c r="AG11" s="208"/>
      <c r="AH11" s="208"/>
      <c r="AI11" s="209"/>
    </row>
    <row r="12" spans="1:35" ht="10.199999999999999" customHeight="1">
      <c r="A12" s="26"/>
      <c r="AI12" s="27"/>
    </row>
    <row r="13" spans="1:35" ht="24" customHeight="1">
      <c r="A13" s="187" t="s">
        <v>88</v>
      </c>
      <c r="B13" s="188"/>
      <c r="C13" s="188"/>
      <c r="D13" s="188"/>
      <c r="E13" s="188"/>
      <c r="F13" s="188"/>
      <c r="G13" s="188"/>
      <c r="H13" s="188"/>
      <c r="I13" s="188"/>
      <c r="J13" s="188"/>
      <c r="K13" s="186" t="s">
        <v>89</v>
      </c>
      <c r="L13" s="186"/>
      <c r="M13" s="186"/>
      <c r="N13" s="173" t="s">
        <v>27</v>
      </c>
      <c r="O13" s="173"/>
      <c r="P13" s="173"/>
      <c r="Q13" s="173"/>
      <c r="R13" s="173"/>
      <c r="S13" s="173"/>
      <c r="T13" s="173"/>
      <c r="U13" s="173"/>
      <c r="V13" s="173"/>
      <c r="W13" s="168" t="s">
        <v>90</v>
      </c>
      <c r="X13" s="168"/>
      <c r="Y13" s="168"/>
      <c r="Z13" s="168"/>
      <c r="AA13" s="168"/>
      <c r="AB13" s="168"/>
      <c r="AC13" s="168"/>
      <c r="AD13" s="168"/>
      <c r="AE13" s="168"/>
      <c r="AF13" s="173" t="s">
        <v>105</v>
      </c>
      <c r="AG13" s="173"/>
      <c r="AH13" s="173"/>
      <c r="AI13" s="176"/>
    </row>
    <row r="14" spans="1:35" ht="24" customHeight="1">
      <c r="A14" s="177" t="s">
        <v>91</v>
      </c>
      <c r="B14" s="178"/>
      <c r="C14" s="178"/>
      <c r="D14" s="147" t="s">
        <v>28</v>
      </c>
      <c r="E14" s="147"/>
      <c r="F14" s="147"/>
      <c r="G14" s="147"/>
      <c r="H14" s="182" t="s">
        <v>100</v>
      </c>
      <c r="I14" s="182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3"/>
    </row>
    <row r="15" spans="1:35" ht="24" customHeight="1">
      <c r="A15" s="184" t="s">
        <v>92</v>
      </c>
      <c r="B15" s="185"/>
      <c r="C15" s="185"/>
      <c r="D15" s="185"/>
      <c r="E15" s="185"/>
      <c r="F15" s="185"/>
      <c r="G15" s="185"/>
      <c r="H15" s="182"/>
      <c r="I15" s="182"/>
      <c r="J15" s="182"/>
      <c r="K15" s="182"/>
      <c r="L15" s="182"/>
      <c r="M15" s="182"/>
      <c r="N15" s="182"/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2"/>
      <c r="Z15" s="182"/>
      <c r="AA15" s="182"/>
      <c r="AB15" s="182"/>
      <c r="AC15" s="182"/>
      <c r="AD15" s="182"/>
      <c r="AE15" s="182"/>
      <c r="AF15" s="182"/>
      <c r="AG15" s="182"/>
      <c r="AH15" s="182"/>
      <c r="AI15" s="183"/>
    </row>
    <row r="16" spans="1:35" ht="24" customHeight="1">
      <c r="A16" s="150" t="s">
        <v>106</v>
      </c>
      <c r="B16" s="147"/>
      <c r="C16" s="147"/>
      <c r="D16" s="147"/>
      <c r="E16" s="147"/>
      <c r="F16" s="147"/>
      <c r="G16" s="147"/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  <c r="AA16" s="182"/>
      <c r="AB16" s="182"/>
      <c r="AC16" s="182"/>
      <c r="AD16" s="182"/>
      <c r="AE16" s="182"/>
      <c r="AF16" s="182"/>
      <c r="AG16" s="182"/>
      <c r="AH16" s="182"/>
      <c r="AI16" s="183"/>
    </row>
    <row r="17" spans="1:39" ht="24" customHeight="1">
      <c r="A17" s="177" t="s">
        <v>61</v>
      </c>
      <c r="B17" s="178"/>
      <c r="C17" s="178"/>
      <c r="D17" s="178"/>
      <c r="E17" s="178"/>
      <c r="F17" s="178"/>
      <c r="G17" s="178"/>
      <c r="H17" s="178"/>
      <c r="I17" s="178"/>
      <c r="J17" s="179" t="s">
        <v>58</v>
      </c>
      <c r="K17" s="179"/>
      <c r="L17" s="179"/>
      <c r="M17" s="179"/>
      <c r="N17" s="147">
        <v>33</v>
      </c>
      <c r="O17" s="147"/>
      <c r="P17" s="147"/>
      <c r="Q17" s="179" t="s">
        <v>59</v>
      </c>
      <c r="R17" s="179"/>
      <c r="S17" s="179"/>
      <c r="T17" s="147">
        <v>31.2</v>
      </c>
      <c r="U17" s="147"/>
      <c r="V17" s="147"/>
      <c r="W17" s="179" t="s">
        <v>60</v>
      </c>
      <c r="X17" s="179"/>
      <c r="Y17" s="179"/>
      <c r="Z17" s="179"/>
      <c r="AA17" s="147">
        <v>25.4</v>
      </c>
      <c r="AB17" s="147"/>
      <c r="AC17" s="147"/>
      <c r="AD17" s="179" t="s">
        <v>57</v>
      </c>
      <c r="AE17" s="179"/>
      <c r="AF17" s="179"/>
      <c r="AG17" s="147">
        <v>70.400000000000006</v>
      </c>
      <c r="AH17" s="147"/>
      <c r="AI17" s="148"/>
    </row>
    <row r="18" spans="1:39" ht="10.199999999999999" customHeight="1">
      <c r="A18" s="26"/>
      <c r="AI18" s="27"/>
    </row>
    <row r="19" spans="1:39" ht="24" customHeight="1">
      <c r="A19" s="180" t="s">
        <v>93</v>
      </c>
      <c r="B19" s="181"/>
      <c r="C19" s="181"/>
      <c r="D19" s="181"/>
      <c r="E19" s="181"/>
      <c r="F19" s="181"/>
      <c r="G19" s="181"/>
      <c r="H19" s="181"/>
      <c r="I19" s="181"/>
      <c r="J19" s="181"/>
      <c r="K19" s="168" t="s">
        <v>89</v>
      </c>
      <c r="L19" s="168"/>
      <c r="M19" s="168"/>
      <c r="N19" s="173" t="s">
        <v>107</v>
      </c>
      <c r="O19" s="173"/>
      <c r="P19" s="173"/>
      <c r="Q19" s="173"/>
      <c r="R19" s="173"/>
      <c r="S19" s="173"/>
      <c r="T19" s="173"/>
      <c r="U19" s="173"/>
      <c r="V19" s="173"/>
      <c r="W19" s="174" t="s">
        <v>8</v>
      </c>
      <c r="X19" s="174"/>
      <c r="Y19" s="168" t="s">
        <v>52</v>
      </c>
      <c r="Z19" s="168"/>
      <c r="AA19" s="175">
        <v>0.60416666666666663</v>
      </c>
      <c r="AB19" s="173"/>
      <c r="AC19" s="173"/>
      <c r="AD19" s="168" t="s">
        <v>94</v>
      </c>
      <c r="AE19" s="168"/>
      <c r="AF19" s="168"/>
      <c r="AG19" s="175">
        <v>0.64583333333333337</v>
      </c>
      <c r="AH19" s="173"/>
      <c r="AI19" s="176"/>
    </row>
    <row r="20" spans="1:39" ht="24" customHeight="1">
      <c r="A20" s="177" t="s">
        <v>61</v>
      </c>
      <c r="B20" s="178"/>
      <c r="C20" s="178"/>
      <c r="D20" s="178"/>
      <c r="E20" s="178"/>
      <c r="F20" s="178"/>
      <c r="G20" s="178"/>
      <c r="H20" s="178"/>
      <c r="I20" s="178"/>
      <c r="J20" s="179" t="s">
        <v>58</v>
      </c>
      <c r="K20" s="179"/>
      <c r="L20" s="179"/>
      <c r="M20" s="179"/>
      <c r="N20" s="147">
        <v>30.2</v>
      </c>
      <c r="O20" s="147"/>
      <c r="P20" s="147"/>
      <c r="Q20" s="179" t="s">
        <v>59</v>
      </c>
      <c r="R20" s="179"/>
      <c r="S20" s="179"/>
      <c r="T20" s="147">
        <v>28.8</v>
      </c>
      <c r="U20" s="147"/>
      <c r="V20" s="147"/>
      <c r="W20" s="179" t="s">
        <v>60</v>
      </c>
      <c r="X20" s="179"/>
      <c r="Y20" s="179"/>
      <c r="Z20" s="179"/>
      <c r="AA20" s="147">
        <v>29.2</v>
      </c>
      <c r="AB20" s="147"/>
      <c r="AC20" s="147"/>
      <c r="AD20" s="179" t="s">
        <v>57</v>
      </c>
      <c r="AE20" s="179"/>
      <c r="AF20" s="179"/>
      <c r="AG20" s="147">
        <v>69.8</v>
      </c>
      <c r="AH20" s="147"/>
      <c r="AI20" s="148"/>
    </row>
    <row r="21" spans="1:39" ht="24" customHeight="1">
      <c r="A21" s="243" t="s">
        <v>31</v>
      </c>
      <c r="B21" s="244"/>
      <c r="C21" s="244"/>
      <c r="D21" s="244"/>
      <c r="E21" s="172" t="s">
        <v>95</v>
      </c>
      <c r="F21" s="172"/>
      <c r="G21" s="172"/>
      <c r="H21" s="172"/>
      <c r="I21" s="172"/>
      <c r="J21" s="171" t="s">
        <v>103</v>
      </c>
      <c r="K21" s="171"/>
      <c r="L21" s="171"/>
      <c r="M21" s="171"/>
      <c r="N21" s="171"/>
      <c r="O21" s="172" t="s">
        <v>9</v>
      </c>
      <c r="P21" s="172"/>
      <c r="Q21" s="172"/>
      <c r="R21" s="172"/>
      <c r="S21" s="172"/>
      <c r="T21" s="171" t="s">
        <v>102</v>
      </c>
      <c r="U21" s="171"/>
      <c r="V21" s="171"/>
      <c r="W21" s="171"/>
      <c r="X21" s="171"/>
      <c r="Y21" s="169" t="s">
        <v>24</v>
      </c>
      <c r="Z21" s="169"/>
      <c r="AA21" s="169"/>
      <c r="AB21" s="169"/>
      <c r="AC21" s="169"/>
      <c r="AD21" s="169"/>
      <c r="AE21" s="169"/>
      <c r="AF21" s="169"/>
      <c r="AG21" s="169"/>
      <c r="AH21" s="169"/>
      <c r="AI21" s="170"/>
    </row>
    <row r="22" spans="1:39" ht="24" customHeight="1">
      <c r="A22" s="246" t="s">
        <v>13</v>
      </c>
      <c r="B22" s="168"/>
      <c r="C22" s="168"/>
      <c r="D22" s="168"/>
      <c r="E22" s="168"/>
      <c r="F22" s="168"/>
      <c r="G22" s="168"/>
      <c r="H22" s="168"/>
      <c r="I22" s="168"/>
      <c r="J22" s="168"/>
      <c r="K22" s="168" t="s">
        <v>10</v>
      </c>
      <c r="L22" s="168"/>
      <c r="M22" s="168"/>
      <c r="N22" s="168" t="s">
        <v>11</v>
      </c>
      <c r="O22" s="168"/>
      <c r="P22" s="168"/>
      <c r="Q22" s="168"/>
      <c r="R22" s="168"/>
      <c r="S22" s="168"/>
      <c r="T22" s="168"/>
      <c r="U22" s="168" t="s">
        <v>29</v>
      </c>
      <c r="V22" s="168"/>
      <c r="W22" s="168"/>
      <c r="X22" s="168"/>
      <c r="Y22" s="168" t="s">
        <v>12</v>
      </c>
      <c r="Z22" s="168"/>
      <c r="AA22" s="168"/>
      <c r="AB22" s="168"/>
      <c r="AC22" s="168"/>
      <c r="AD22" s="168"/>
      <c r="AE22" s="168"/>
      <c r="AF22" s="168" t="s">
        <v>30</v>
      </c>
      <c r="AG22" s="168"/>
      <c r="AH22" s="168"/>
      <c r="AI22" s="245"/>
    </row>
    <row r="23" spans="1:39" ht="24" customHeight="1">
      <c r="A23" s="167" t="s">
        <v>150</v>
      </c>
      <c r="B23" s="160"/>
      <c r="C23" s="160"/>
      <c r="D23" s="160"/>
      <c r="E23" s="160"/>
      <c r="F23" s="160"/>
      <c r="G23" s="160"/>
      <c r="H23" s="160"/>
      <c r="I23" s="160"/>
      <c r="J23" s="165"/>
      <c r="K23" s="166"/>
      <c r="L23" s="160"/>
      <c r="M23" s="165"/>
      <c r="N23" s="159" t="s">
        <v>155</v>
      </c>
      <c r="O23" s="160"/>
      <c r="P23" s="160"/>
      <c r="Q23" s="160"/>
      <c r="R23" s="160"/>
      <c r="S23" s="160"/>
      <c r="T23" s="165"/>
      <c r="U23" s="162" t="s">
        <v>156</v>
      </c>
      <c r="V23" s="163"/>
      <c r="W23" s="163"/>
      <c r="X23" s="164"/>
      <c r="Y23" s="159" t="s">
        <v>157</v>
      </c>
      <c r="Z23" s="247"/>
      <c r="AA23" s="247"/>
      <c r="AB23" s="247"/>
      <c r="AC23" s="247"/>
      <c r="AD23" s="247"/>
      <c r="AE23" s="248"/>
      <c r="AF23" s="159" t="s">
        <v>158</v>
      </c>
      <c r="AG23" s="160"/>
      <c r="AH23" s="160"/>
      <c r="AI23" s="161"/>
    </row>
    <row r="24" spans="1:39" ht="24" customHeight="1">
      <c r="A24" s="150" t="s">
        <v>138</v>
      </c>
      <c r="B24" s="147"/>
      <c r="C24" s="147"/>
      <c r="D24" s="147"/>
      <c r="E24" s="147"/>
      <c r="F24" s="147"/>
      <c r="G24" s="147"/>
      <c r="H24" s="147"/>
      <c r="I24" s="147"/>
      <c r="J24" s="147"/>
      <c r="K24" s="147" t="s">
        <v>108</v>
      </c>
      <c r="L24" s="147"/>
      <c r="M24" s="147"/>
      <c r="N24" s="151" t="s">
        <v>159</v>
      </c>
      <c r="O24" s="152"/>
      <c r="P24" s="152"/>
      <c r="Q24" s="152"/>
      <c r="R24" s="152"/>
      <c r="S24" s="152"/>
      <c r="T24" s="152"/>
      <c r="U24" s="153" t="s">
        <v>160</v>
      </c>
      <c r="V24" s="154"/>
      <c r="W24" s="154"/>
      <c r="X24" s="154"/>
      <c r="Y24" s="147" t="s">
        <v>108</v>
      </c>
      <c r="Z24" s="147"/>
      <c r="AA24" s="147"/>
      <c r="AB24" s="147"/>
      <c r="AC24" s="147"/>
      <c r="AD24" s="147"/>
      <c r="AE24" s="147"/>
      <c r="AF24" s="147"/>
      <c r="AG24" s="147"/>
      <c r="AH24" s="147"/>
      <c r="AI24" s="148"/>
    </row>
    <row r="25" spans="1:39" ht="24" customHeight="1">
      <c r="A25" s="150" t="s">
        <v>139</v>
      </c>
      <c r="B25" s="147"/>
      <c r="C25" s="147"/>
      <c r="D25" s="147"/>
      <c r="E25" s="147"/>
      <c r="F25" s="147"/>
      <c r="G25" s="147"/>
      <c r="H25" s="147"/>
      <c r="I25" s="147"/>
      <c r="J25" s="147"/>
      <c r="K25" s="147" t="s">
        <v>140</v>
      </c>
      <c r="L25" s="147"/>
      <c r="M25" s="147"/>
      <c r="N25" s="151" t="s">
        <v>161</v>
      </c>
      <c r="O25" s="152"/>
      <c r="P25" s="152"/>
      <c r="Q25" s="152"/>
      <c r="R25" s="152"/>
      <c r="S25" s="152"/>
      <c r="T25" s="152"/>
      <c r="U25" s="153" t="s">
        <v>162</v>
      </c>
      <c r="V25" s="154"/>
      <c r="W25" s="154"/>
      <c r="X25" s="154"/>
      <c r="Y25" s="155" t="s">
        <v>157</v>
      </c>
      <c r="Z25" s="156"/>
      <c r="AA25" s="156"/>
      <c r="AB25" s="156"/>
      <c r="AC25" s="156"/>
      <c r="AD25" s="156"/>
      <c r="AE25" s="157"/>
      <c r="AF25" s="153" t="s">
        <v>158</v>
      </c>
      <c r="AG25" s="154"/>
      <c r="AH25" s="154"/>
      <c r="AI25" s="158"/>
    </row>
    <row r="26" spans="1:39" ht="24" customHeight="1">
      <c r="A26" s="150" t="s">
        <v>47</v>
      </c>
      <c r="B26" s="147"/>
      <c r="C26" s="147"/>
      <c r="D26" s="147"/>
      <c r="E26" s="147"/>
      <c r="F26" s="147"/>
      <c r="G26" s="147"/>
      <c r="H26" s="147"/>
      <c r="I26" s="147"/>
      <c r="J26" s="147"/>
      <c r="K26" s="147">
        <v>7011</v>
      </c>
      <c r="L26" s="147"/>
      <c r="M26" s="147"/>
      <c r="N26" s="151" t="s">
        <v>163</v>
      </c>
      <c r="O26" s="152"/>
      <c r="P26" s="152"/>
      <c r="Q26" s="152"/>
      <c r="R26" s="152"/>
      <c r="S26" s="152"/>
      <c r="T26" s="152"/>
      <c r="U26" s="153" t="s">
        <v>164</v>
      </c>
      <c r="V26" s="154"/>
      <c r="W26" s="154"/>
      <c r="X26" s="154"/>
      <c r="Y26" s="155" t="s">
        <v>165</v>
      </c>
      <c r="Z26" s="156"/>
      <c r="AA26" s="156"/>
      <c r="AB26" s="156"/>
      <c r="AC26" s="156"/>
      <c r="AD26" s="156"/>
      <c r="AE26" s="157"/>
      <c r="AF26" s="153" t="s">
        <v>166</v>
      </c>
      <c r="AG26" s="154"/>
      <c r="AH26" s="154"/>
      <c r="AI26" s="158"/>
      <c r="AM26" s="22"/>
    </row>
    <row r="27" spans="1:39" ht="24" customHeight="1">
      <c r="A27" s="150" t="s">
        <v>148</v>
      </c>
      <c r="B27" s="147"/>
      <c r="C27" s="147"/>
      <c r="D27" s="147"/>
      <c r="E27" s="147"/>
      <c r="F27" s="147"/>
      <c r="G27" s="147"/>
      <c r="H27" s="147"/>
      <c r="I27" s="147"/>
      <c r="J27" s="147"/>
      <c r="K27" s="147" t="s">
        <v>108</v>
      </c>
      <c r="L27" s="147"/>
      <c r="M27" s="147"/>
      <c r="N27" s="254" t="s">
        <v>167</v>
      </c>
      <c r="O27" s="254"/>
      <c r="P27" s="254"/>
      <c r="Q27" s="254"/>
      <c r="R27" s="254"/>
      <c r="S27" s="254"/>
      <c r="T27" s="254"/>
      <c r="U27" s="249" t="s">
        <v>168</v>
      </c>
      <c r="V27" s="250"/>
      <c r="W27" s="250"/>
      <c r="X27" s="251"/>
      <c r="Y27" s="147" t="s">
        <v>108</v>
      </c>
      <c r="Z27" s="147"/>
      <c r="AA27" s="147"/>
      <c r="AB27" s="147"/>
      <c r="AC27" s="147"/>
      <c r="AD27" s="147"/>
      <c r="AE27" s="147"/>
      <c r="AF27" s="252" t="s">
        <v>108</v>
      </c>
      <c r="AG27" s="252"/>
      <c r="AH27" s="252"/>
      <c r="AI27" s="253"/>
      <c r="AM27" s="22"/>
    </row>
    <row r="28" spans="1:39" ht="24" customHeight="1">
      <c r="A28" s="142" t="s">
        <v>96</v>
      </c>
      <c r="B28" s="139"/>
      <c r="C28" s="139"/>
      <c r="D28" s="139"/>
      <c r="E28" s="139"/>
      <c r="F28" s="139"/>
      <c r="G28" s="139"/>
      <c r="H28" s="141" t="s">
        <v>109</v>
      </c>
      <c r="I28" s="141"/>
      <c r="J28" s="141"/>
      <c r="K28" s="141"/>
      <c r="L28" s="141"/>
      <c r="M28" s="140" t="s">
        <v>14</v>
      </c>
      <c r="N28" s="140"/>
      <c r="O28" s="140"/>
      <c r="P28" s="140"/>
      <c r="Q28" s="139" t="s">
        <v>97</v>
      </c>
      <c r="R28" s="139"/>
      <c r="S28" s="139"/>
      <c r="T28" s="139"/>
      <c r="U28" s="141" t="s">
        <v>169</v>
      </c>
      <c r="V28" s="141"/>
      <c r="W28" s="141"/>
      <c r="X28" s="141"/>
      <c r="Y28" s="139" t="s">
        <v>98</v>
      </c>
      <c r="Z28" s="139"/>
      <c r="AA28" s="139"/>
      <c r="AB28" s="141" t="s">
        <v>110</v>
      </c>
      <c r="AC28" s="141"/>
      <c r="AD28" s="141"/>
      <c r="AE28" s="141"/>
      <c r="AF28" s="141"/>
      <c r="AG28" s="141"/>
      <c r="AH28" s="141"/>
      <c r="AI28" s="149"/>
    </row>
    <row r="29" spans="1:39" ht="10.199999999999999" customHeight="1">
      <c r="A29" s="26"/>
      <c r="AI29" s="27"/>
    </row>
    <row r="30" spans="1:39" ht="24" customHeight="1">
      <c r="A30" s="143" t="s">
        <v>69</v>
      </c>
      <c r="B30" s="144"/>
      <c r="C30" s="144"/>
      <c r="D30" s="144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6"/>
    </row>
    <row r="31" spans="1:39" ht="24" customHeight="1">
      <c r="A31" s="222"/>
      <c r="B31" s="223"/>
      <c r="C31" s="223"/>
      <c r="D31" s="223"/>
      <c r="E31" s="223"/>
      <c r="F31" s="223"/>
      <c r="G31" s="223"/>
      <c r="H31" s="223"/>
      <c r="I31" s="223"/>
      <c r="J31" s="223"/>
      <c r="K31" s="223"/>
      <c r="L31" s="223"/>
      <c r="M31" s="223"/>
      <c r="N31" s="223"/>
      <c r="O31" s="223"/>
      <c r="P31" s="223"/>
      <c r="Q31" s="223"/>
      <c r="R31" s="223"/>
      <c r="S31" s="223"/>
      <c r="T31" s="223"/>
      <c r="U31" s="223"/>
      <c r="V31" s="223"/>
      <c r="W31" s="223"/>
      <c r="X31" s="223"/>
      <c r="Y31" s="223"/>
      <c r="Z31" s="223"/>
      <c r="AA31" s="223"/>
      <c r="AB31" s="223"/>
      <c r="AC31" s="223"/>
      <c r="AD31" s="223"/>
      <c r="AE31" s="223"/>
      <c r="AF31" s="223"/>
      <c r="AG31" s="223"/>
      <c r="AH31" s="223"/>
      <c r="AI31" s="224"/>
    </row>
    <row r="32" spans="1:39" ht="24" customHeight="1">
      <c r="A32" s="222"/>
      <c r="B32" s="223"/>
      <c r="C32" s="223"/>
      <c r="D32" s="223"/>
      <c r="E32" s="223"/>
      <c r="F32" s="223"/>
      <c r="G32" s="223"/>
      <c r="H32" s="223"/>
      <c r="I32" s="223"/>
      <c r="J32" s="223"/>
      <c r="K32" s="223"/>
      <c r="L32" s="223"/>
      <c r="M32" s="223"/>
      <c r="N32" s="223"/>
      <c r="O32" s="223"/>
      <c r="P32" s="223"/>
      <c r="Q32" s="223"/>
      <c r="R32" s="223"/>
      <c r="S32" s="223"/>
      <c r="T32" s="223"/>
      <c r="U32" s="223"/>
      <c r="V32" s="223"/>
      <c r="W32" s="223"/>
      <c r="X32" s="223"/>
      <c r="Y32" s="223"/>
      <c r="Z32" s="223"/>
      <c r="AA32" s="223"/>
      <c r="AB32" s="223"/>
      <c r="AC32" s="223"/>
      <c r="AD32" s="223"/>
      <c r="AE32" s="223"/>
      <c r="AF32" s="223"/>
      <c r="AG32" s="223"/>
      <c r="AH32" s="223"/>
      <c r="AI32" s="224"/>
    </row>
    <row r="33" spans="1:35" ht="24" customHeight="1">
      <c r="A33" s="228" t="s">
        <v>16</v>
      </c>
      <c r="B33" s="229"/>
      <c r="C33" s="229"/>
      <c r="D33" s="229"/>
      <c r="E33" s="225" t="s">
        <v>111</v>
      </c>
      <c r="F33" s="226"/>
      <c r="G33" s="226"/>
      <c r="H33" s="226"/>
      <c r="I33" s="226"/>
      <c r="J33" s="226"/>
      <c r="K33" s="226"/>
      <c r="L33" s="226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229" t="s">
        <v>17</v>
      </c>
      <c r="Y33" s="229"/>
      <c r="Z33" s="229"/>
      <c r="AA33" s="229"/>
      <c r="AB33" s="232"/>
      <c r="AC33" s="232"/>
      <c r="AD33" s="232"/>
      <c r="AE33" s="232"/>
      <c r="AF33" s="232"/>
      <c r="AG33" s="232"/>
      <c r="AH33" s="232"/>
      <c r="AI33" s="233"/>
    </row>
    <row r="34" spans="1:35" ht="24" customHeight="1" thickBot="1">
      <c r="A34" s="230"/>
      <c r="B34" s="231"/>
      <c r="C34" s="231"/>
      <c r="D34" s="231"/>
      <c r="E34" s="227"/>
      <c r="F34" s="227"/>
      <c r="G34" s="227"/>
      <c r="H34" s="227"/>
      <c r="I34" s="227"/>
      <c r="J34" s="227"/>
      <c r="K34" s="227"/>
      <c r="L34" s="227"/>
      <c r="M34" s="236"/>
      <c r="N34" s="236"/>
      <c r="O34" s="236"/>
      <c r="P34" s="236"/>
      <c r="Q34" s="236"/>
      <c r="R34" s="236"/>
      <c r="S34" s="236"/>
      <c r="T34" s="236"/>
      <c r="U34" s="236"/>
      <c r="V34" s="236"/>
      <c r="W34" s="236"/>
      <c r="X34" s="231"/>
      <c r="Y34" s="231"/>
      <c r="Z34" s="231"/>
      <c r="AA34" s="231"/>
      <c r="AB34" s="234"/>
      <c r="AC34" s="234"/>
      <c r="AD34" s="234"/>
      <c r="AE34" s="234"/>
      <c r="AF34" s="234"/>
      <c r="AG34" s="234"/>
      <c r="AH34" s="234"/>
      <c r="AI34" s="235"/>
    </row>
    <row r="35" spans="1:35" ht="24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3"/>
      <c r="Z35" s="3"/>
      <c r="AA35" s="3"/>
      <c r="AB35" s="3"/>
      <c r="AC35" s="4"/>
      <c r="AD35" s="4"/>
      <c r="AE35" s="4"/>
      <c r="AF35" s="4"/>
      <c r="AG35" s="4"/>
      <c r="AH35" s="4"/>
      <c r="AI35" s="4"/>
    </row>
  </sheetData>
  <mergeCells count="141">
    <mergeCell ref="A32:AI32"/>
    <mergeCell ref="E33:L34"/>
    <mergeCell ref="A33:D34"/>
    <mergeCell ref="AB33:AI34"/>
    <mergeCell ref="X33:AA34"/>
    <mergeCell ref="M33:W34"/>
    <mergeCell ref="A1:K1"/>
    <mergeCell ref="A5:AI5"/>
    <mergeCell ref="Y25:AE25"/>
    <mergeCell ref="Y27:AE27"/>
    <mergeCell ref="A21:D21"/>
    <mergeCell ref="AF22:AI22"/>
    <mergeCell ref="U22:X22"/>
    <mergeCell ref="N22:T22"/>
    <mergeCell ref="A22:J22"/>
    <mergeCell ref="Y23:AE23"/>
    <mergeCell ref="A31:AI31"/>
    <mergeCell ref="A27:J27"/>
    <mergeCell ref="U27:X27"/>
    <mergeCell ref="AF27:AI27"/>
    <mergeCell ref="N27:T27"/>
    <mergeCell ref="K27:M27"/>
    <mergeCell ref="Q3:W3"/>
    <mergeCell ref="X3:Y3"/>
    <mergeCell ref="P8:R8"/>
    <mergeCell ref="J8:L8"/>
    <mergeCell ref="G10:U10"/>
    <mergeCell ref="AE10:AI10"/>
    <mergeCell ref="A8:E8"/>
    <mergeCell ref="A7:G7"/>
    <mergeCell ref="Y8:AB8"/>
    <mergeCell ref="S8:U8"/>
    <mergeCell ref="Y11:AA11"/>
    <mergeCell ref="AE11:AI11"/>
    <mergeCell ref="AF8:AI8"/>
    <mergeCell ref="AB11:AD11"/>
    <mergeCell ref="V11:X11"/>
    <mergeCell ref="P11:R11"/>
    <mergeCell ref="A10:F10"/>
    <mergeCell ref="W10:Z10"/>
    <mergeCell ref="AA10:AD10"/>
    <mergeCell ref="S11:U11"/>
    <mergeCell ref="M11:O11"/>
    <mergeCell ref="A11:L11"/>
    <mergeCell ref="M8:O8"/>
    <mergeCell ref="G8:I8"/>
    <mergeCell ref="AC8:AE8"/>
    <mergeCell ref="V8:X8"/>
    <mergeCell ref="AG17:AI17"/>
    <mergeCell ref="AA17:AC17"/>
    <mergeCell ref="T17:V17"/>
    <mergeCell ref="N17:P17"/>
    <mergeCell ref="AF13:AI13"/>
    <mergeCell ref="N13:V13"/>
    <mergeCell ref="A14:C14"/>
    <mergeCell ref="D14:G14"/>
    <mergeCell ref="H14:AI16"/>
    <mergeCell ref="A15:G15"/>
    <mergeCell ref="K13:M13"/>
    <mergeCell ref="A13:J13"/>
    <mergeCell ref="W13:AE13"/>
    <mergeCell ref="A16:G16"/>
    <mergeCell ref="A17:I17"/>
    <mergeCell ref="AD17:AF17"/>
    <mergeCell ref="W17:Z17"/>
    <mergeCell ref="Q17:S17"/>
    <mergeCell ref="J17:M17"/>
    <mergeCell ref="Y22:AE22"/>
    <mergeCell ref="Y21:AI21"/>
    <mergeCell ref="T21:X21"/>
    <mergeCell ref="O21:S21"/>
    <mergeCell ref="J21:N21"/>
    <mergeCell ref="E21:I21"/>
    <mergeCell ref="K19:M19"/>
    <mergeCell ref="N19:V19"/>
    <mergeCell ref="W19:X19"/>
    <mergeCell ref="AD19:AF19"/>
    <mergeCell ref="Y19:Z19"/>
    <mergeCell ref="AG19:AI19"/>
    <mergeCell ref="AA19:AC19"/>
    <mergeCell ref="A20:I20"/>
    <mergeCell ref="J20:M20"/>
    <mergeCell ref="N20:P20"/>
    <mergeCell ref="Q20:S20"/>
    <mergeCell ref="T20:V20"/>
    <mergeCell ref="W20:Z20"/>
    <mergeCell ref="AA20:AC20"/>
    <mergeCell ref="AD20:AF20"/>
    <mergeCell ref="AG20:AI20"/>
    <mergeCell ref="A19:J19"/>
    <mergeCell ref="K22:M22"/>
    <mergeCell ref="AF23:AI23"/>
    <mergeCell ref="U23:X23"/>
    <mergeCell ref="N23:T23"/>
    <mergeCell ref="K23:M23"/>
    <mergeCell ref="A23:J23"/>
    <mergeCell ref="N25:T25"/>
    <mergeCell ref="K25:M25"/>
    <mergeCell ref="A24:J24"/>
    <mergeCell ref="K24:M24"/>
    <mergeCell ref="N24:T24"/>
    <mergeCell ref="U24:X24"/>
    <mergeCell ref="Q28:T28"/>
    <mergeCell ref="M28:P28"/>
    <mergeCell ref="H28:L28"/>
    <mergeCell ref="A28:G28"/>
    <mergeCell ref="A30:D30"/>
    <mergeCell ref="E30:AI30"/>
    <mergeCell ref="Y24:AE24"/>
    <mergeCell ref="AF24:AI24"/>
    <mergeCell ref="AB28:AI28"/>
    <mergeCell ref="Y28:AA28"/>
    <mergeCell ref="U28:X28"/>
    <mergeCell ref="A26:J26"/>
    <mergeCell ref="K26:M26"/>
    <mergeCell ref="N26:T26"/>
    <mergeCell ref="U26:X26"/>
    <mergeCell ref="Y26:AE26"/>
    <mergeCell ref="AF26:AI26"/>
    <mergeCell ref="AF25:AI25"/>
    <mergeCell ref="U25:X25"/>
    <mergeCell ref="A25:J25"/>
    <mergeCell ref="J3:K3"/>
    <mergeCell ref="L3:N3"/>
    <mergeCell ref="E3:I3"/>
    <mergeCell ref="O3:P3"/>
    <mergeCell ref="Z3:AI3"/>
    <mergeCell ref="K7:S7"/>
    <mergeCell ref="T7:AI7"/>
    <mergeCell ref="A3:D3"/>
    <mergeCell ref="H7:J7"/>
    <mergeCell ref="L1:O1"/>
    <mergeCell ref="P1:W1"/>
    <mergeCell ref="X1:AA1"/>
    <mergeCell ref="AB1:AI1"/>
    <mergeCell ref="F2:N2"/>
    <mergeCell ref="A2:E2"/>
    <mergeCell ref="O2:T2"/>
    <mergeCell ref="U2:W2"/>
    <mergeCell ref="X2:AA2"/>
    <mergeCell ref="AB2:AI2"/>
  </mergeCells>
  <printOptions horizontalCentered="1"/>
  <pageMargins left="0.51181102362204722" right="0.51181102362204722" top="0.74803149606299213" bottom="0.51181102362204722" header="0.23622047244094491" footer="0.23622047244094491"/>
  <pageSetup paperSize="9" scale="89" orientation="portrait" r:id="rId1"/>
  <headerFooter>
    <oddHeader>&amp;L&amp;"-,Bold Italic"&amp;K04-049SIMRAN Technocrats, India&amp;R&amp;"-,Italic"&amp;8Page &amp;P of &amp;N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J34"/>
  <sheetViews>
    <sheetView view="pageBreakPreview" zoomScale="120" zoomScaleNormal="100" zoomScaleSheetLayoutView="120" workbookViewId="0">
      <selection sqref="A1:K1"/>
    </sheetView>
  </sheetViews>
  <sheetFormatPr defaultColWidth="3" defaultRowHeight="22.2" customHeight="1"/>
  <cols>
    <col min="1" max="32" width="3" style="1"/>
    <col min="33" max="33" width="3.375" style="1" bestFit="1" customWidth="1"/>
    <col min="34" max="36" width="3" style="1"/>
    <col min="37" max="62" width="4.5" style="1" hidden="1" customWidth="1"/>
    <col min="63" max="16384" width="3" style="1"/>
  </cols>
  <sheetData>
    <row r="1" spans="1:35" ht="25.2" customHeight="1">
      <c r="A1" s="237" t="s">
        <v>32</v>
      </c>
      <c r="B1" s="238"/>
      <c r="C1" s="238"/>
      <c r="D1" s="238"/>
      <c r="E1" s="238"/>
      <c r="F1" s="238"/>
      <c r="G1" s="238"/>
      <c r="H1" s="238"/>
      <c r="I1" s="238"/>
      <c r="J1" s="238"/>
      <c r="K1" s="239"/>
      <c r="L1" s="95" t="s">
        <v>75</v>
      </c>
      <c r="M1" s="96"/>
      <c r="N1" s="96"/>
      <c r="O1" s="97"/>
      <c r="P1" s="98" t="s">
        <v>33</v>
      </c>
      <c r="Q1" s="99"/>
      <c r="R1" s="99"/>
      <c r="S1" s="99"/>
      <c r="T1" s="99"/>
      <c r="U1" s="99"/>
      <c r="V1" s="99"/>
      <c r="W1" s="100"/>
      <c r="X1" s="101" t="s">
        <v>55</v>
      </c>
      <c r="Y1" s="102"/>
      <c r="Z1" s="102"/>
      <c r="AA1" s="103"/>
      <c r="AB1" s="98" t="s">
        <v>34</v>
      </c>
      <c r="AC1" s="99"/>
      <c r="AD1" s="99"/>
      <c r="AE1" s="99"/>
      <c r="AF1" s="99"/>
      <c r="AG1" s="99"/>
      <c r="AH1" s="99"/>
      <c r="AI1" s="104"/>
    </row>
    <row r="2" spans="1:35" ht="25.2" customHeight="1">
      <c r="A2" s="108" t="s">
        <v>76</v>
      </c>
      <c r="B2" s="109"/>
      <c r="C2" s="109"/>
      <c r="D2" s="109"/>
      <c r="E2" s="110"/>
      <c r="F2" s="105" t="s">
        <v>151</v>
      </c>
      <c r="G2" s="106"/>
      <c r="H2" s="106"/>
      <c r="I2" s="106"/>
      <c r="J2" s="106"/>
      <c r="K2" s="106"/>
      <c r="L2" s="106"/>
      <c r="M2" s="106"/>
      <c r="N2" s="107"/>
      <c r="O2" s="111" t="s">
        <v>77</v>
      </c>
      <c r="P2" s="109"/>
      <c r="Q2" s="109"/>
      <c r="R2" s="109"/>
      <c r="S2" s="109"/>
      <c r="T2" s="110"/>
      <c r="U2" s="112" t="s">
        <v>173</v>
      </c>
      <c r="V2" s="106"/>
      <c r="W2" s="107"/>
      <c r="X2" s="113" t="s">
        <v>56</v>
      </c>
      <c r="Y2" s="114"/>
      <c r="Z2" s="114"/>
      <c r="AA2" s="115"/>
      <c r="AB2" s="116" t="s">
        <v>149</v>
      </c>
      <c r="AC2" s="117"/>
      <c r="AD2" s="117"/>
      <c r="AE2" s="117"/>
      <c r="AF2" s="117"/>
      <c r="AG2" s="117"/>
      <c r="AH2" s="117"/>
      <c r="AI2" s="118"/>
    </row>
    <row r="3" spans="1:35" ht="25.2" customHeight="1">
      <c r="A3" s="134" t="s">
        <v>78</v>
      </c>
      <c r="B3" s="135"/>
      <c r="C3" s="135"/>
      <c r="D3" s="120"/>
      <c r="E3" s="124" t="s">
        <v>172</v>
      </c>
      <c r="F3" s="125"/>
      <c r="G3" s="125"/>
      <c r="H3" s="125"/>
      <c r="I3" s="126"/>
      <c r="J3" s="119" t="s">
        <v>79</v>
      </c>
      <c r="K3" s="120"/>
      <c r="L3" s="121">
        <v>0.6875</v>
      </c>
      <c r="M3" s="122"/>
      <c r="N3" s="123"/>
      <c r="O3" s="119" t="s">
        <v>80</v>
      </c>
      <c r="P3" s="120"/>
      <c r="Q3" s="255" t="s">
        <v>145</v>
      </c>
      <c r="R3" s="122"/>
      <c r="S3" s="122"/>
      <c r="T3" s="122"/>
      <c r="U3" s="122"/>
      <c r="V3" s="122"/>
      <c r="W3" s="123"/>
      <c r="X3" s="119" t="s">
        <v>81</v>
      </c>
      <c r="Y3" s="120"/>
      <c r="Z3" s="127" t="s">
        <v>152</v>
      </c>
      <c r="AA3" s="128"/>
      <c r="AB3" s="128"/>
      <c r="AC3" s="128"/>
      <c r="AD3" s="128"/>
      <c r="AE3" s="128"/>
      <c r="AF3" s="128"/>
      <c r="AG3" s="128"/>
      <c r="AH3" s="128"/>
      <c r="AI3" s="129"/>
    </row>
    <row r="4" spans="1:35" ht="10.199999999999999" customHeight="1">
      <c r="A4" s="24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5"/>
    </row>
    <row r="5" spans="1:35" ht="25.2" customHeight="1">
      <c r="A5" s="240" t="s">
        <v>62</v>
      </c>
      <c r="B5" s="241"/>
      <c r="C5" s="241"/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1"/>
      <c r="S5" s="241"/>
      <c r="T5" s="241"/>
      <c r="U5" s="241"/>
      <c r="V5" s="241"/>
      <c r="W5" s="241"/>
      <c r="X5" s="241"/>
      <c r="Y5" s="241"/>
      <c r="Z5" s="241"/>
      <c r="AA5" s="241"/>
      <c r="AB5" s="241"/>
      <c r="AC5" s="241"/>
      <c r="AD5" s="241"/>
      <c r="AE5" s="241"/>
      <c r="AF5" s="241"/>
      <c r="AG5" s="241"/>
      <c r="AH5" s="241"/>
      <c r="AI5" s="242"/>
    </row>
    <row r="6" spans="1:35" ht="10.199999999999999" customHeight="1">
      <c r="A6" s="28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29"/>
    </row>
    <row r="7" spans="1:35" s="2" customFormat="1" ht="25.2" customHeight="1">
      <c r="A7" s="30"/>
      <c r="B7" s="7"/>
      <c r="C7" s="271" t="s">
        <v>37</v>
      </c>
      <c r="D7" s="271"/>
      <c r="E7" s="271"/>
      <c r="F7" s="271" t="s">
        <v>38</v>
      </c>
      <c r="G7" s="271"/>
      <c r="H7" s="271"/>
      <c r="I7" s="271"/>
      <c r="J7" s="271"/>
      <c r="K7" s="271"/>
      <c r="L7" s="271" t="s">
        <v>18</v>
      </c>
      <c r="M7" s="271"/>
      <c r="N7" s="271"/>
      <c r="O7" s="271"/>
      <c r="P7" s="271" t="s">
        <v>39</v>
      </c>
      <c r="Q7" s="271"/>
      <c r="R7" s="271"/>
      <c r="S7" s="271"/>
      <c r="T7" s="271"/>
      <c r="U7" s="271"/>
      <c r="V7" s="271"/>
      <c r="W7" s="271"/>
      <c r="X7" s="271"/>
      <c r="Y7" s="271" t="s">
        <v>40</v>
      </c>
      <c r="Z7" s="271"/>
      <c r="AA7" s="271"/>
      <c r="AB7" s="271" t="s">
        <v>41</v>
      </c>
      <c r="AC7" s="271"/>
      <c r="AD7" s="271"/>
      <c r="AE7" s="271"/>
      <c r="AF7" s="8"/>
      <c r="AG7" s="7"/>
      <c r="AH7" s="7"/>
      <c r="AI7" s="31"/>
    </row>
    <row r="8" spans="1:35" s="2" customFormat="1" ht="25.2" customHeight="1">
      <c r="A8" s="26"/>
      <c r="B8" s="1"/>
      <c r="C8" s="283" t="s">
        <v>42</v>
      </c>
      <c r="D8" s="283"/>
      <c r="E8" s="283"/>
      <c r="F8" s="272" t="s">
        <v>43</v>
      </c>
      <c r="G8" s="272"/>
      <c r="H8" s="272"/>
      <c r="I8" s="272"/>
      <c r="J8" s="272"/>
      <c r="K8" s="272"/>
      <c r="L8" s="272" t="s">
        <v>141</v>
      </c>
      <c r="M8" s="272"/>
      <c r="N8" s="272"/>
      <c r="O8" s="272"/>
      <c r="P8" s="272" t="s">
        <v>35</v>
      </c>
      <c r="Q8" s="272"/>
      <c r="R8" s="272"/>
      <c r="S8" s="272"/>
      <c r="T8" s="272"/>
      <c r="U8" s="272"/>
      <c r="V8" s="272"/>
      <c r="W8" s="272"/>
      <c r="X8" s="272"/>
      <c r="Y8" s="273">
        <v>60</v>
      </c>
      <c r="Z8" s="273"/>
      <c r="AA8" s="273"/>
      <c r="AB8" s="273" t="s">
        <v>44</v>
      </c>
      <c r="AC8" s="273"/>
      <c r="AD8" s="273"/>
      <c r="AE8" s="273"/>
      <c r="AF8" s="1"/>
      <c r="AG8" s="1"/>
      <c r="AH8" s="1"/>
      <c r="AI8" s="27"/>
    </row>
    <row r="9" spans="1:35" s="2" customFormat="1" ht="25.2" customHeight="1">
      <c r="A9" s="26"/>
      <c r="B9" s="1"/>
      <c r="C9" s="283"/>
      <c r="D9" s="283"/>
      <c r="E9" s="283"/>
      <c r="F9" s="272" t="s">
        <v>43</v>
      </c>
      <c r="G9" s="272"/>
      <c r="H9" s="272"/>
      <c r="I9" s="272"/>
      <c r="J9" s="272"/>
      <c r="K9" s="272"/>
      <c r="L9" s="272" t="s">
        <v>36</v>
      </c>
      <c r="M9" s="272"/>
      <c r="N9" s="272"/>
      <c r="O9" s="272"/>
      <c r="P9" s="272" t="s">
        <v>35</v>
      </c>
      <c r="Q9" s="272"/>
      <c r="R9" s="272"/>
      <c r="S9" s="272"/>
      <c r="T9" s="272"/>
      <c r="U9" s="272"/>
      <c r="V9" s="272"/>
      <c r="W9" s="272"/>
      <c r="X9" s="272"/>
      <c r="Y9" s="273">
        <v>120</v>
      </c>
      <c r="Z9" s="273"/>
      <c r="AA9" s="273"/>
      <c r="AB9" s="273" t="s">
        <v>45</v>
      </c>
      <c r="AC9" s="273"/>
      <c r="AD9" s="273"/>
      <c r="AE9" s="273"/>
      <c r="AF9" s="1"/>
      <c r="AG9" s="1"/>
      <c r="AH9" s="1"/>
      <c r="AI9" s="27"/>
    </row>
    <row r="10" spans="1:35" s="2" customFormat="1" ht="25.2" customHeight="1">
      <c r="A10" s="26"/>
      <c r="B10" s="1"/>
      <c r="C10" s="283"/>
      <c r="D10" s="283"/>
      <c r="E10" s="283"/>
      <c r="F10" s="272" t="s">
        <v>46</v>
      </c>
      <c r="G10" s="272"/>
      <c r="H10" s="272"/>
      <c r="I10" s="272"/>
      <c r="J10" s="272"/>
      <c r="K10" s="272"/>
      <c r="L10" s="284" t="s">
        <v>142</v>
      </c>
      <c r="M10" s="284"/>
      <c r="N10" s="284"/>
      <c r="O10" s="284"/>
      <c r="P10" s="272" t="s">
        <v>47</v>
      </c>
      <c r="Q10" s="272"/>
      <c r="R10" s="272"/>
      <c r="S10" s="272"/>
      <c r="T10" s="272"/>
      <c r="U10" s="272"/>
      <c r="V10" s="272"/>
      <c r="W10" s="272"/>
      <c r="X10" s="272"/>
      <c r="Y10" s="273">
        <v>60</v>
      </c>
      <c r="Z10" s="273"/>
      <c r="AA10" s="273"/>
      <c r="AB10" s="273" t="s">
        <v>44</v>
      </c>
      <c r="AC10" s="273"/>
      <c r="AD10" s="273"/>
      <c r="AE10" s="273"/>
      <c r="AF10" s="1"/>
      <c r="AG10" s="1"/>
      <c r="AH10" s="1"/>
      <c r="AI10" s="27"/>
    </row>
    <row r="11" spans="1:35" s="2" customFormat="1" ht="25.2" customHeight="1">
      <c r="A11" s="32"/>
      <c r="B11" s="9"/>
      <c r="C11" s="10"/>
      <c r="D11" s="10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2" t="s">
        <v>48</v>
      </c>
      <c r="X11" s="12"/>
      <c r="Y11" s="278">
        <v>240</v>
      </c>
      <c r="Z11" s="278"/>
      <c r="AA11" s="278"/>
      <c r="AB11" s="278" t="s">
        <v>49</v>
      </c>
      <c r="AC11" s="278"/>
      <c r="AD11" s="278"/>
      <c r="AE11" s="278"/>
      <c r="AF11" s="13"/>
      <c r="AG11" s="11"/>
      <c r="AH11" s="11"/>
      <c r="AI11" s="33"/>
    </row>
    <row r="12" spans="1:35" s="2" customFormat="1" ht="10.199999999999999" customHeight="1">
      <c r="A12" s="26"/>
      <c r="B12" s="1"/>
      <c r="C12" s="1"/>
      <c r="D12" s="1"/>
      <c r="E12" s="1"/>
      <c r="F12" s="1"/>
      <c r="G12" s="1"/>
      <c r="H12" s="1"/>
      <c r="I12" s="78"/>
      <c r="J12" s="78"/>
      <c r="K12" s="78"/>
      <c r="L12" s="78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78"/>
      <c r="Z12" s="78"/>
      <c r="AA12" s="78"/>
      <c r="AB12" s="78"/>
      <c r="AC12" s="78"/>
      <c r="AD12" s="78"/>
      <c r="AE12" s="78"/>
      <c r="AF12" s="1"/>
      <c r="AG12" s="1"/>
      <c r="AH12" s="1"/>
      <c r="AI12" s="27"/>
    </row>
    <row r="13" spans="1:35" ht="25.2" customHeight="1">
      <c r="A13" s="34"/>
      <c r="B13" s="14"/>
      <c r="C13" s="270" t="s">
        <v>37</v>
      </c>
      <c r="D13" s="270"/>
      <c r="E13" s="270"/>
      <c r="F13" s="271" t="s">
        <v>38</v>
      </c>
      <c r="G13" s="271"/>
      <c r="H13" s="271"/>
      <c r="I13" s="271"/>
      <c r="J13" s="271"/>
      <c r="K13" s="271"/>
      <c r="L13" s="271" t="s">
        <v>18</v>
      </c>
      <c r="M13" s="271"/>
      <c r="N13" s="271"/>
      <c r="O13" s="271"/>
      <c r="P13" s="271" t="s">
        <v>39</v>
      </c>
      <c r="Q13" s="271"/>
      <c r="R13" s="271"/>
      <c r="S13" s="271"/>
      <c r="T13" s="271"/>
      <c r="U13" s="271"/>
      <c r="V13" s="271"/>
      <c r="W13" s="271"/>
      <c r="X13" s="271"/>
      <c r="Y13" s="289" t="s">
        <v>40</v>
      </c>
      <c r="Z13" s="289"/>
      <c r="AA13" s="289"/>
      <c r="AB13" s="289" t="s">
        <v>41</v>
      </c>
      <c r="AC13" s="289"/>
      <c r="AD13" s="289"/>
      <c r="AE13" s="289"/>
      <c r="AF13" s="15"/>
      <c r="AG13" s="14"/>
      <c r="AH13" s="14"/>
      <c r="AI13" s="35"/>
    </row>
    <row r="14" spans="1:35" ht="25.2" customHeight="1">
      <c r="A14" s="36"/>
      <c r="B14" s="2"/>
      <c r="C14" s="282" t="s">
        <v>50</v>
      </c>
      <c r="D14" s="282"/>
      <c r="E14" s="282"/>
      <c r="F14" s="272" t="s">
        <v>43</v>
      </c>
      <c r="G14" s="272"/>
      <c r="H14" s="272"/>
      <c r="I14" s="272"/>
      <c r="J14" s="272"/>
      <c r="K14" s="272"/>
      <c r="L14" s="272" t="s">
        <v>141</v>
      </c>
      <c r="M14" s="272"/>
      <c r="N14" s="272"/>
      <c r="O14" s="272"/>
      <c r="P14" s="272" t="s">
        <v>35</v>
      </c>
      <c r="Q14" s="272"/>
      <c r="R14" s="272"/>
      <c r="S14" s="272"/>
      <c r="T14" s="272"/>
      <c r="U14" s="272"/>
      <c r="V14" s="272"/>
      <c r="W14" s="272"/>
      <c r="X14" s="272"/>
      <c r="Y14" s="273">
        <v>60</v>
      </c>
      <c r="Z14" s="273"/>
      <c r="AA14" s="273"/>
      <c r="AB14" s="273" t="s">
        <v>44</v>
      </c>
      <c r="AC14" s="273"/>
      <c r="AD14" s="273"/>
      <c r="AE14" s="273"/>
      <c r="AF14" s="78"/>
      <c r="AG14" s="2"/>
      <c r="AH14" s="2"/>
      <c r="AI14" s="37"/>
    </row>
    <row r="15" spans="1:35" ht="25.2" customHeight="1">
      <c r="A15" s="38"/>
      <c r="B15" s="79"/>
      <c r="C15" s="282"/>
      <c r="D15" s="282"/>
      <c r="E15" s="282"/>
      <c r="F15" s="272" t="s">
        <v>43</v>
      </c>
      <c r="G15" s="272"/>
      <c r="H15" s="272"/>
      <c r="I15" s="272"/>
      <c r="J15" s="272"/>
      <c r="K15" s="272"/>
      <c r="L15" s="272" t="s">
        <v>36</v>
      </c>
      <c r="M15" s="272"/>
      <c r="N15" s="272"/>
      <c r="O15" s="272"/>
      <c r="P15" s="272" t="s">
        <v>35</v>
      </c>
      <c r="Q15" s="272"/>
      <c r="R15" s="272"/>
      <c r="S15" s="272"/>
      <c r="T15" s="272"/>
      <c r="U15" s="272"/>
      <c r="V15" s="272"/>
      <c r="W15" s="272"/>
      <c r="X15" s="272"/>
      <c r="Y15" s="273">
        <v>120</v>
      </c>
      <c r="Z15" s="273"/>
      <c r="AA15" s="273"/>
      <c r="AB15" s="273" t="s">
        <v>45</v>
      </c>
      <c r="AC15" s="273"/>
      <c r="AD15" s="273"/>
      <c r="AE15" s="273"/>
      <c r="AF15" s="78"/>
      <c r="AG15" s="2"/>
      <c r="AH15" s="2"/>
      <c r="AI15" s="37"/>
    </row>
    <row r="16" spans="1:35" ht="25.2" customHeight="1">
      <c r="A16" s="39"/>
      <c r="B16" s="16"/>
      <c r="C16" s="11"/>
      <c r="D16" s="11"/>
      <c r="E16" s="10"/>
      <c r="F16" s="10"/>
      <c r="G16" s="10"/>
      <c r="H16" s="10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2" t="s">
        <v>48</v>
      </c>
      <c r="X16" s="12"/>
      <c r="Y16" s="278">
        <f>SUM(Y14:AA15)</f>
        <v>180</v>
      </c>
      <c r="Z16" s="278"/>
      <c r="AA16" s="278"/>
      <c r="AB16" s="278" t="s">
        <v>51</v>
      </c>
      <c r="AC16" s="278"/>
      <c r="AD16" s="278"/>
      <c r="AE16" s="278"/>
      <c r="AF16" s="11"/>
      <c r="AG16" s="11"/>
      <c r="AH16" s="11"/>
      <c r="AI16" s="33"/>
    </row>
    <row r="17" spans="1:62" ht="10.199999999999999" customHeight="1">
      <c r="A17" s="38"/>
      <c r="B17" s="79"/>
      <c r="C17" s="2"/>
      <c r="D17" s="2"/>
      <c r="E17" s="80"/>
      <c r="F17" s="80"/>
      <c r="G17" s="80"/>
      <c r="H17" s="80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81"/>
      <c r="X17" s="81"/>
      <c r="Y17" s="82"/>
      <c r="Z17" s="82"/>
      <c r="AA17" s="82"/>
      <c r="AB17" s="82"/>
      <c r="AC17" s="80"/>
      <c r="AD17" s="80"/>
      <c r="AE17" s="2"/>
      <c r="AF17" s="2"/>
      <c r="AG17" s="2"/>
      <c r="AH17" s="2"/>
      <c r="AI17" s="37"/>
    </row>
    <row r="18" spans="1:62" ht="25.2" customHeight="1">
      <c r="A18" s="274" t="s">
        <v>63</v>
      </c>
      <c r="B18" s="275"/>
      <c r="C18" s="275"/>
      <c r="D18" s="275"/>
      <c r="E18" s="275"/>
      <c r="F18" s="275"/>
      <c r="G18" s="275"/>
      <c r="H18" s="275"/>
      <c r="I18" s="287" t="s">
        <v>64</v>
      </c>
      <c r="J18" s="287"/>
      <c r="K18" s="287"/>
      <c r="L18" s="279" t="s">
        <v>147</v>
      </c>
      <c r="M18" s="280"/>
      <c r="N18" s="280"/>
      <c r="O18" s="280"/>
      <c r="P18" s="280"/>
      <c r="Q18" s="280"/>
      <c r="R18" s="280"/>
      <c r="S18" s="280"/>
      <c r="T18" s="280"/>
      <c r="U18" s="280"/>
      <c r="V18" s="281"/>
      <c r="W18" s="287" t="s">
        <v>65</v>
      </c>
      <c r="X18" s="287"/>
      <c r="Y18" s="287"/>
      <c r="Z18" s="276" t="s">
        <v>112</v>
      </c>
      <c r="AA18" s="276"/>
      <c r="AB18" s="276"/>
      <c r="AC18" s="276"/>
      <c r="AD18" s="276"/>
      <c r="AE18" s="276"/>
      <c r="AF18" s="276"/>
      <c r="AG18" s="276"/>
      <c r="AH18" s="276"/>
      <c r="AI18" s="277"/>
    </row>
    <row r="19" spans="1:62" ht="10.199999999999999" customHeight="1">
      <c r="A19" s="40"/>
      <c r="B19" s="83"/>
      <c r="C19" s="81"/>
      <c r="D19" s="81"/>
      <c r="E19" s="81"/>
      <c r="F19" s="81"/>
      <c r="G19" s="81"/>
      <c r="H19" s="81"/>
      <c r="I19" s="82"/>
      <c r="J19" s="82"/>
      <c r="K19" s="82"/>
      <c r="L19" s="82"/>
      <c r="AI19" s="27"/>
    </row>
    <row r="20" spans="1:62" ht="25.2" customHeight="1">
      <c r="A20" s="180" t="s">
        <v>20</v>
      </c>
      <c r="B20" s="181"/>
      <c r="C20" s="181"/>
      <c r="D20" s="181"/>
      <c r="E20" s="181"/>
      <c r="F20" s="181"/>
      <c r="G20" s="181"/>
      <c r="H20" s="288" t="s">
        <v>22</v>
      </c>
      <c r="I20" s="288"/>
      <c r="J20" s="288"/>
      <c r="K20" s="288"/>
      <c r="L20" s="288"/>
      <c r="M20" s="288"/>
      <c r="N20" s="288"/>
      <c r="O20" s="288"/>
      <c r="P20" s="288"/>
      <c r="Q20" s="288"/>
      <c r="R20" s="288"/>
      <c r="S20" s="288"/>
      <c r="T20" s="288"/>
      <c r="U20" s="288"/>
      <c r="V20" s="288"/>
      <c r="W20" s="288"/>
      <c r="X20" s="288"/>
      <c r="Y20" s="288"/>
      <c r="Z20" s="288"/>
      <c r="AA20" s="288"/>
      <c r="AB20" s="288"/>
      <c r="AC20" s="288"/>
      <c r="AD20" s="288"/>
      <c r="AE20" s="168" t="s">
        <v>66</v>
      </c>
      <c r="AF20" s="168"/>
      <c r="AG20" s="285">
        <v>0.72916666666666663</v>
      </c>
      <c r="AH20" s="285"/>
      <c r="AI20" s="286"/>
    </row>
    <row r="21" spans="1:62" ht="25.2" customHeight="1">
      <c r="A21" s="177" t="s">
        <v>61</v>
      </c>
      <c r="B21" s="178"/>
      <c r="C21" s="178"/>
      <c r="D21" s="178"/>
      <c r="E21" s="178"/>
      <c r="F21" s="178"/>
      <c r="G21" s="178"/>
      <c r="H21" s="178"/>
      <c r="I21" s="178"/>
      <c r="J21" s="179" t="s">
        <v>58</v>
      </c>
      <c r="K21" s="179"/>
      <c r="L21" s="179"/>
      <c r="M21" s="179"/>
      <c r="N21" s="147">
        <v>31.5</v>
      </c>
      <c r="O21" s="147"/>
      <c r="P21" s="147"/>
      <c r="Q21" s="179" t="s">
        <v>59</v>
      </c>
      <c r="R21" s="179"/>
      <c r="S21" s="179"/>
      <c r="T21" s="147">
        <v>29.5</v>
      </c>
      <c r="U21" s="147"/>
      <c r="V21" s="147"/>
      <c r="W21" s="179" t="s">
        <v>60</v>
      </c>
      <c r="X21" s="179"/>
      <c r="Y21" s="179"/>
      <c r="Z21" s="179"/>
      <c r="AA21" s="147">
        <v>26.2</v>
      </c>
      <c r="AB21" s="147"/>
      <c r="AC21" s="147"/>
      <c r="AD21" s="179" t="s">
        <v>57</v>
      </c>
      <c r="AE21" s="179"/>
      <c r="AF21" s="179"/>
      <c r="AG21" s="147">
        <v>72.400000000000006</v>
      </c>
      <c r="AH21" s="147"/>
      <c r="AI21" s="148"/>
    </row>
    <row r="22" spans="1:62" ht="25.2" customHeight="1">
      <c r="A22" s="293" t="s">
        <v>21</v>
      </c>
      <c r="B22" s="294"/>
      <c r="C22" s="294"/>
      <c r="D22" s="294"/>
      <c r="E22" s="294"/>
      <c r="F22" s="294"/>
      <c r="G22" s="294"/>
      <c r="H22" s="294"/>
      <c r="I22" s="294"/>
      <c r="J22" s="294"/>
      <c r="K22" s="290" t="s">
        <v>67</v>
      </c>
      <c r="L22" s="290"/>
      <c r="M22" s="290"/>
      <c r="N22" s="290"/>
      <c r="O22" s="290"/>
      <c r="P22" s="252" t="s">
        <v>102</v>
      </c>
      <c r="Q22" s="252"/>
      <c r="R22" s="252"/>
      <c r="S22" s="252"/>
      <c r="T22" s="252"/>
      <c r="U22" s="252"/>
      <c r="V22" s="252"/>
      <c r="W22" s="290" t="s">
        <v>68</v>
      </c>
      <c r="X22" s="290"/>
      <c r="Y22" s="290"/>
      <c r="Z22" s="290"/>
      <c r="AA22" s="290"/>
      <c r="AB22" s="252" t="s">
        <v>113</v>
      </c>
      <c r="AC22" s="252"/>
      <c r="AD22" s="252"/>
      <c r="AE22" s="252"/>
      <c r="AF22" s="252"/>
      <c r="AG22" s="252"/>
      <c r="AH22" s="252"/>
      <c r="AI22" s="253"/>
    </row>
    <row r="23" spans="1:62" ht="10.199999999999999" customHeight="1">
      <c r="A23" s="41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42"/>
    </row>
    <row r="24" spans="1:62" ht="25.2" customHeight="1">
      <c r="A24" s="263" t="s">
        <v>70</v>
      </c>
      <c r="B24" s="264"/>
      <c r="C24" s="259"/>
      <c r="D24" s="173">
        <v>260</v>
      </c>
      <c r="E24" s="173"/>
      <c r="F24" s="173">
        <v>255</v>
      </c>
      <c r="G24" s="173"/>
      <c r="H24" s="173">
        <v>290</v>
      </c>
      <c r="I24" s="173"/>
      <c r="J24" s="173">
        <v>287</v>
      </c>
      <c r="K24" s="173"/>
      <c r="L24" s="173">
        <v>288</v>
      </c>
      <c r="M24" s="173"/>
      <c r="N24" s="173">
        <v>265</v>
      </c>
      <c r="O24" s="173"/>
      <c r="P24" s="173">
        <v>300</v>
      </c>
      <c r="Q24" s="173"/>
      <c r="R24" s="173">
        <v>288</v>
      </c>
      <c r="S24" s="173"/>
      <c r="T24" s="173">
        <v>299</v>
      </c>
      <c r="U24" s="173"/>
      <c r="V24" s="173">
        <v>270</v>
      </c>
      <c r="W24" s="173"/>
      <c r="X24" s="173">
        <v>271</v>
      </c>
      <c r="Y24" s="173"/>
      <c r="Z24" s="173">
        <v>297</v>
      </c>
      <c r="AA24" s="173"/>
      <c r="AB24" s="173">
        <v>301</v>
      </c>
      <c r="AC24" s="269"/>
      <c r="AD24" s="258" t="s">
        <v>72</v>
      </c>
      <c r="AE24" s="259"/>
      <c r="AF24" s="259" t="s">
        <v>73</v>
      </c>
      <c r="AG24" s="259"/>
      <c r="AH24" s="259" t="s">
        <v>74</v>
      </c>
      <c r="AI24" s="268"/>
      <c r="AK24" s="1">
        <f>D24</f>
        <v>260</v>
      </c>
      <c r="AL24" s="1">
        <f>F24</f>
        <v>255</v>
      </c>
      <c r="AM24" s="1">
        <f>H24</f>
        <v>290</v>
      </c>
      <c r="AN24" s="1">
        <f>J24</f>
        <v>287</v>
      </c>
      <c r="AO24" s="1">
        <f>L24</f>
        <v>288</v>
      </c>
      <c r="AP24" s="1">
        <f>N24</f>
        <v>265</v>
      </c>
      <c r="AQ24" s="1">
        <f>P24</f>
        <v>300</v>
      </c>
      <c r="AR24" s="1">
        <f>R24</f>
        <v>288</v>
      </c>
      <c r="AS24" s="1">
        <f>T24</f>
        <v>299</v>
      </c>
      <c r="AT24" s="1">
        <f>V24</f>
        <v>270</v>
      </c>
      <c r="AU24" s="1">
        <f>X24</f>
        <v>271</v>
      </c>
      <c r="AV24" s="1">
        <f>Z24</f>
        <v>297</v>
      </c>
      <c r="AW24" s="1">
        <f>AB24</f>
        <v>301</v>
      </c>
      <c r="AX24" s="1">
        <f>D25</f>
        <v>312</v>
      </c>
      <c r="AY24" s="1">
        <f>F25</f>
        <v>309</v>
      </c>
      <c r="AZ24" s="1">
        <f>H25</f>
        <v>321</v>
      </c>
      <c r="BA24" s="1">
        <f>J25</f>
        <v>307</v>
      </c>
      <c r="BB24" s="1">
        <f>L25</f>
        <v>269</v>
      </c>
      <c r="BC24" s="1">
        <f>N25</f>
        <v>285</v>
      </c>
      <c r="BD24" s="1">
        <f>P25</f>
        <v>284</v>
      </c>
      <c r="BE24" s="1">
        <f>R25</f>
        <v>264</v>
      </c>
      <c r="BF24" s="1">
        <f>T25</f>
        <v>319</v>
      </c>
      <c r="BG24" s="1">
        <f>V25</f>
        <v>320</v>
      </c>
      <c r="BH24" s="1">
        <f>X25</f>
        <v>323</v>
      </c>
      <c r="BI24" s="1">
        <f>Z25</f>
        <v>261</v>
      </c>
      <c r="BJ24" s="1">
        <f>AB25</f>
        <v>325</v>
      </c>
    </row>
    <row r="25" spans="1:62" ht="25.2" customHeight="1">
      <c r="A25" s="291"/>
      <c r="B25" s="292"/>
      <c r="C25" s="292"/>
      <c r="D25" s="252">
        <v>312</v>
      </c>
      <c r="E25" s="252"/>
      <c r="F25" s="252">
        <v>309</v>
      </c>
      <c r="G25" s="252"/>
      <c r="H25" s="252">
        <v>321</v>
      </c>
      <c r="I25" s="252"/>
      <c r="J25" s="252">
        <v>307</v>
      </c>
      <c r="K25" s="252"/>
      <c r="L25" s="252">
        <v>269</v>
      </c>
      <c r="M25" s="252"/>
      <c r="N25" s="252">
        <v>285</v>
      </c>
      <c r="O25" s="252"/>
      <c r="P25" s="252">
        <v>284</v>
      </c>
      <c r="Q25" s="252"/>
      <c r="R25" s="252">
        <v>264</v>
      </c>
      <c r="S25" s="252"/>
      <c r="T25" s="252">
        <v>319</v>
      </c>
      <c r="U25" s="252"/>
      <c r="V25" s="252">
        <v>320</v>
      </c>
      <c r="W25" s="252"/>
      <c r="X25" s="252">
        <v>323</v>
      </c>
      <c r="Y25" s="252"/>
      <c r="Z25" s="252">
        <v>261</v>
      </c>
      <c r="AA25" s="252"/>
      <c r="AB25" s="252">
        <v>325</v>
      </c>
      <c r="AC25" s="260"/>
      <c r="AD25" s="267">
        <f>MIN(AK24:BJ24)</f>
        <v>255</v>
      </c>
      <c r="AE25" s="261"/>
      <c r="AF25" s="261">
        <f>MAX(AK24:BJ24)</f>
        <v>325</v>
      </c>
      <c r="AG25" s="261"/>
      <c r="AH25" s="261">
        <f>AVERAGE(AK24:BJ24)</f>
        <v>291.15384615384613</v>
      </c>
      <c r="AI25" s="262"/>
    </row>
    <row r="26" spans="1:62" ht="25.2" customHeight="1">
      <c r="A26" s="263" t="s">
        <v>71</v>
      </c>
      <c r="B26" s="264"/>
      <c r="C26" s="264"/>
      <c r="D26" s="173">
        <v>180</v>
      </c>
      <c r="E26" s="173"/>
      <c r="F26" s="173">
        <v>305</v>
      </c>
      <c r="G26" s="173"/>
      <c r="H26" s="173">
        <v>200</v>
      </c>
      <c r="I26" s="173"/>
      <c r="J26" s="173">
        <v>311</v>
      </c>
      <c r="K26" s="173"/>
      <c r="L26" s="173">
        <v>255</v>
      </c>
      <c r="M26" s="173"/>
      <c r="N26" s="173">
        <v>214</v>
      </c>
      <c r="O26" s="173"/>
      <c r="P26" s="173">
        <v>322</v>
      </c>
      <c r="Q26" s="173"/>
      <c r="R26" s="173">
        <v>211</v>
      </c>
      <c r="S26" s="173"/>
      <c r="T26" s="173">
        <v>231</v>
      </c>
      <c r="U26" s="173"/>
      <c r="V26" s="173">
        <v>251</v>
      </c>
      <c r="W26" s="173"/>
      <c r="X26" s="173">
        <v>261</v>
      </c>
      <c r="Y26" s="173"/>
      <c r="Z26" s="173">
        <v>241</v>
      </c>
      <c r="AA26" s="173"/>
      <c r="AB26" s="173">
        <v>246</v>
      </c>
      <c r="AC26" s="269"/>
      <c r="AD26" s="258" t="s">
        <v>72</v>
      </c>
      <c r="AE26" s="259"/>
      <c r="AF26" s="259" t="s">
        <v>73</v>
      </c>
      <c r="AG26" s="259"/>
      <c r="AH26" s="259" t="s">
        <v>74</v>
      </c>
      <c r="AI26" s="268"/>
      <c r="AK26" s="1">
        <f>D26</f>
        <v>180</v>
      </c>
      <c r="AL26" s="1">
        <f>F26</f>
        <v>305</v>
      </c>
      <c r="AM26" s="1">
        <f>H26</f>
        <v>200</v>
      </c>
      <c r="AN26" s="1">
        <f>J26</f>
        <v>311</v>
      </c>
      <c r="AO26" s="1">
        <f>L26</f>
        <v>255</v>
      </c>
      <c r="AP26" s="1">
        <f>N26</f>
        <v>214</v>
      </c>
      <c r="AQ26" s="1">
        <f>P26</f>
        <v>322</v>
      </c>
      <c r="AR26" s="1">
        <f>R26</f>
        <v>211</v>
      </c>
      <c r="AS26" s="1">
        <f>T26</f>
        <v>231</v>
      </c>
      <c r="AT26" s="1">
        <f>V26</f>
        <v>251</v>
      </c>
      <c r="AU26" s="1">
        <f>X26</f>
        <v>261</v>
      </c>
      <c r="AV26" s="1">
        <f>Z26</f>
        <v>241</v>
      </c>
      <c r="AW26" s="1">
        <f>AB26</f>
        <v>246</v>
      </c>
      <c r="AX26" s="1">
        <f>D27</f>
        <v>310</v>
      </c>
      <c r="AY26" s="1">
        <f>F27</f>
        <v>321</v>
      </c>
      <c r="AZ26" s="1">
        <f>H27</f>
        <v>321</v>
      </c>
      <c r="BA26" s="1">
        <f>J27</f>
        <v>322</v>
      </c>
      <c r="BB26" s="1">
        <f>L27</f>
        <v>314</v>
      </c>
      <c r="BC26" s="1">
        <f>N27</f>
        <v>200</v>
      </c>
      <c r="BD26" s="1">
        <f>P27</f>
        <v>201</v>
      </c>
      <c r="BE26" s="1">
        <f>R27</f>
        <v>222</v>
      </c>
      <c r="BF26" s="1">
        <f>T27</f>
        <v>264</v>
      </c>
      <c r="BG26" s="1">
        <f>V27</f>
        <v>241</v>
      </c>
      <c r="BH26" s="1">
        <f>X27</f>
        <v>215</v>
      </c>
      <c r="BI26" s="1">
        <f>Z27</f>
        <v>264</v>
      </c>
      <c r="BJ26" s="1">
        <f>AB27</f>
        <v>283</v>
      </c>
    </row>
    <row r="27" spans="1:62" ht="25.2" customHeight="1">
      <c r="A27" s="265"/>
      <c r="B27" s="266"/>
      <c r="C27" s="266"/>
      <c r="D27" s="252">
        <v>310</v>
      </c>
      <c r="E27" s="252"/>
      <c r="F27" s="252">
        <v>321</v>
      </c>
      <c r="G27" s="252"/>
      <c r="H27" s="252">
        <v>321</v>
      </c>
      <c r="I27" s="252"/>
      <c r="J27" s="252">
        <v>322</v>
      </c>
      <c r="K27" s="252"/>
      <c r="L27" s="252">
        <v>314</v>
      </c>
      <c r="M27" s="252"/>
      <c r="N27" s="252">
        <v>200</v>
      </c>
      <c r="O27" s="252"/>
      <c r="P27" s="252">
        <v>201</v>
      </c>
      <c r="Q27" s="252"/>
      <c r="R27" s="252">
        <v>222</v>
      </c>
      <c r="S27" s="252"/>
      <c r="T27" s="252">
        <v>264</v>
      </c>
      <c r="U27" s="252"/>
      <c r="V27" s="252">
        <v>241</v>
      </c>
      <c r="W27" s="252"/>
      <c r="X27" s="252">
        <v>215</v>
      </c>
      <c r="Y27" s="252"/>
      <c r="Z27" s="252">
        <v>264</v>
      </c>
      <c r="AA27" s="252"/>
      <c r="AB27" s="252">
        <v>283</v>
      </c>
      <c r="AC27" s="260"/>
      <c r="AD27" s="267">
        <f>MIN(AK26:BJ26)</f>
        <v>180</v>
      </c>
      <c r="AE27" s="261"/>
      <c r="AF27" s="261">
        <f>MAX(AK26:BJ26)</f>
        <v>322</v>
      </c>
      <c r="AG27" s="261"/>
      <c r="AH27" s="261">
        <f>AVERAGE(AK26:BJ26)</f>
        <v>257.92307692307691</v>
      </c>
      <c r="AI27" s="262"/>
    </row>
    <row r="28" spans="1:62" ht="10.199999999999999" customHeight="1">
      <c r="A28" s="43"/>
      <c r="B28" s="18"/>
      <c r="C28" s="18"/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44"/>
    </row>
    <row r="29" spans="1:62" ht="25.2" customHeight="1">
      <c r="A29" s="256" t="s">
        <v>54</v>
      </c>
      <c r="B29" s="257"/>
      <c r="C29" s="257"/>
      <c r="D29" s="257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6"/>
    </row>
    <row r="30" spans="1:62" ht="25.2" customHeight="1">
      <c r="A30" s="222"/>
      <c r="B30" s="223"/>
      <c r="C30" s="223"/>
      <c r="D30" s="223"/>
      <c r="E30" s="223"/>
      <c r="F30" s="223"/>
      <c r="G30" s="223"/>
      <c r="H30" s="223"/>
      <c r="I30" s="223"/>
      <c r="J30" s="223"/>
      <c r="K30" s="223"/>
      <c r="L30" s="223"/>
      <c r="M30" s="223"/>
      <c r="N30" s="223"/>
      <c r="O30" s="223"/>
      <c r="P30" s="223"/>
      <c r="Q30" s="223"/>
      <c r="R30" s="223"/>
      <c r="S30" s="223"/>
      <c r="T30" s="223"/>
      <c r="U30" s="223"/>
      <c r="V30" s="223"/>
      <c r="W30" s="223"/>
      <c r="X30" s="223"/>
      <c r="Y30" s="223"/>
      <c r="Z30" s="223"/>
      <c r="AA30" s="223"/>
      <c r="AB30" s="223"/>
      <c r="AC30" s="223"/>
      <c r="AD30" s="223"/>
      <c r="AE30" s="223"/>
      <c r="AF30" s="223"/>
      <c r="AG30" s="223"/>
      <c r="AH30" s="223"/>
      <c r="AI30" s="224"/>
    </row>
    <row r="31" spans="1:62" ht="25.2" customHeight="1">
      <c r="A31" s="222"/>
      <c r="B31" s="223"/>
      <c r="C31" s="223"/>
      <c r="D31" s="223"/>
      <c r="E31" s="223"/>
      <c r="F31" s="223"/>
      <c r="G31" s="223"/>
      <c r="H31" s="223"/>
      <c r="I31" s="223"/>
      <c r="J31" s="223"/>
      <c r="K31" s="223"/>
      <c r="L31" s="223"/>
      <c r="M31" s="223"/>
      <c r="N31" s="223"/>
      <c r="O31" s="223"/>
      <c r="P31" s="223"/>
      <c r="Q31" s="223"/>
      <c r="R31" s="223"/>
      <c r="S31" s="223"/>
      <c r="T31" s="223"/>
      <c r="U31" s="223"/>
      <c r="V31" s="223"/>
      <c r="W31" s="223"/>
      <c r="X31" s="223"/>
      <c r="Y31" s="223"/>
      <c r="Z31" s="223"/>
      <c r="AA31" s="223"/>
      <c r="AB31" s="223"/>
      <c r="AC31" s="223"/>
      <c r="AD31" s="223"/>
      <c r="AE31" s="223"/>
      <c r="AF31" s="223"/>
      <c r="AG31" s="223"/>
      <c r="AH31" s="223"/>
      <c r="AI31" s="224"/>
    </row>
    <row r="32" spans="1:62" ht="25.2" customHeight="1">
      <c r="A32" s="228" t="s">
        <v>16</v>
      </c>
      <c r="B32" s="229"/>
      <c r="C32" s="229"/>
      <c r="D32" s="229"/>
      <c r="E32" s="225" t="s">
        <v>111</v>
      </c>
      <c r="F32" s="226"/>
      <c r="G32" s="226"/>
      <c r="H32" s="226"/>
      <c r="I32" s="226"/>
      <c r="J32" s="226"/>
      <c r="K32" s="226"/>
      <c r="L32" s="226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229" t="s">
        <v>17</v>
      </c>
      <c r="Y32" s="229"/>
      <c r="Z32" s="229"/>
      <c r="AA32" s="229"/>
      <c r="AB32" s="232"/>
      <c r="AC32" s="232"/>
      <c r="AD32" s="232"/>
      <c r="AE32" s="232"/>
      <c r="AF32" s="232"/>
      <c r="AG32" s="232"/>
      <c r="AH32" s="232"/>
      <c r="AI32" s="233"/>
    </row>
    <row r="33" spans="1:35" ht="22.2" customHeight="1" thickBot="1">
      <c r="A33" s="230"/>
      <c r="B33" s="231"/>
      <c r="C33" s="231"/>
      <c r="D33" s="231"/>
      <c r="E33" s="227"/>
      <c r="F33" s="227"/>
      <c r="G33" s="227"/>
      <c r="H33" s="227"/>
      <c r="I33" s="227"/>
      <c r="J33" s="227"/>
      <c r="K33" s="227"/>
      <c r="L33" s="227"/>
      <c r="M33" s="236"/>
      <c r="N33" s="236"/>
      <c r="O33" s="236"/>
      <c r="P33" s="236"/>
      <c r="Q33" s="236"/>
      <c r="R33" s="236"/>
      <c r="S33" s="236"/>
      <c r="T33" s="236"/>
      <c r="U33" s="236"/>
      <c r="V33" s="236"/>
      <c r="W33" s="236"/>
      <c r="X33" s="231"/>
      <c r="Y33" s="231"/>
      <c r="Z33" s="231"/>
      <c r="AA33" s="231"/>
      <c r="AB33" s="234"/>
      <c r="AC33" s="234"/>
      <c r="AD33" s="234"/>
      <c r="AE33" s="234"/>
      <c r="AF33" s="234"/>
      <c r="AG33" s="234"/>
      <c r="AH33" s="234"/>
      <c r="AI33" s="235"/>
    </row>
    <row r="34" spans="1:35" ht="22.2" customHeight="1" thickBot="1">
      <c r="A34" s="84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6"/>
    </row>
  </sheetData>
  <mergeCells count="161">
    <mergeCell ref="Y11:AA11"/>
    <mergeCell ref="Y13:AA13"/>
    <mergeCell ref="AB11:AE11"/>
    <mergeCell ref="F13:K13"/>
    <mergeCell ref="K22:O22"/>
    <mergeCell ref="W22:AA22"/>
    <mergeCell ref="A24:C25"/>
    <mergeCell ref="A22:J22"/>
    <mergeCell ref="P22:V22"/>
    <mergeCell ref="A20:G20"/>
    <mergeCell ref="L13:O13"/>
    <mergeCell ref="P13:X13"/>
    <mergeCell ref="AB13:AE13"/>
    <mergeCell ref="F14:K14"/>
    <mergeCell ref="L14:O14"/>
    <mergeCell ref="P14:X14"/>
    <mergeCell ref="AB14:AE14"/>
    <mergeCell ref="F25:G25"/>
    <mergeCell ref="H25:I25"/>
    <mergeCell ref="J25:K25"/>
    <mergeCell ref="L25:M25"/>
    <mergeCell ref="N25:O25"/>
    <mergeCell ref="N24:O24"/>
    <mergeCell ref="P24:Q24"/>
    <mergeCell ref="AG20:AI20"/>
    <mergeCell ref="Y16:AA16"/>
    <mergeCell ref="I18:K18"/>
    <mergeCell ref="W18:Y18"/>
    <mergeCell ref="H20:AD20"/>
    <mergeCell ref="AE20:AF20"/>
    <mergeCell ref="D25:E25"/>
    <mergeCell ref="D24:E24"/>
    <mergeCell ref="F24:G24"/>
    <mergeCell ref="H24:I24"/>
    <mergeCell ref="J24:K24"/>
    <mergeCell ref="L24:M24"/>
    <mergeCell ref="AB22:AI22"/>
    <mergeCell ref="A21:I21"/>
    <mergeCell ref="J21:M21"/>
    <mergeCell ref="N21:P21"/>
    <mergeCell ref="Q21:S21"/>
    <mergeCell ref="T21:V21"/>
    <mergeCell ref="AG21:AI21"/>
    <mergeCell ref="Z24:AA24"/>
    <mergeCell ref="AB24:AC24"/>
    <mergeCell ref="AD24:AE24"/>
    <mergeCell ref="AF24:AG24"/>
    <mergeCell ref="AH24:AI24"/>
    <mergeCell ref="A1:K1"/>
    <mergeCell ref="L1:O1"/>
    <mergeCell ref="P1:W1"/>
    <mergeCell ref="X1:AA1"/>
    <mergeCell ref="AB1:AI1"/>
    <mergeCell ref="A2:E2"/>
    <mergeCell ref="F2:N2"/>
    <mergeCell ref="O2:T2"/>
    <mergeCell ref="U2:W2"/>
    <mergeCell ref="X2:AA2"/>
    <mergeCell ref="AB2:AI2"/>
    <mergeCell ref="Y10:AA10"/>
    <mergeCell ref="P10:X10"/>
    <mergeCell ref="P9:X9"/>
    <mergeCell ref="A3:D3"/>
    <mergeCell ref="E3:I3"/>
    <mergeCell ref="J3:K3"/>
    <mergeCell ref="L3:N3"/>
    <mergeCell ref="O3:P3"/>
    <mergeCell ref="Q3:W3"/>
    <mergeCell ref="X3:Y3"/>
    <mergeCell ref="Z3:AI3"/>
    <mergeCell ref="A5:AI5"/>
    <mergeCell ref="C8:E10"/>
    <mergeCell ref="Y8:AA8"/>
    <mergeCell ref="C7:E7"/>
    <mergeCell ref="Y7:AA7"/>
    <mergeCell ref="P8:X8"/>
    <mergeCell ref="P7:X7"/>
    <mergeCell ref="L10:O10"/>
    <mergeCell ref="L9:O9"/>
    <mergeCell ref="L8:O8"/>
    <mergeCell ref="L7:O7"/>
    <mergeCell ref="C13:E13"/>
    <mergeCell ref="F7:K7"/>
    <mergeCell ref="F8:K8"/>
    <mergeCell ref="F9:K9"/>
    <mergeCell ref="F10:K10"/>
    <mergeCell ref="AB10:AE10"/>
    <mergeCell ref="AB9:AE9"/>
    <mergeCell ref="W21:Z21"/>
    <mergeCell ref="AA21:AC21"/>
    <mergeCell ref="AD21:AF21"/>
    <mergeCell ref="AB15:AE15"/>
    <mergeCell ref="A18:H18"/>
    <mergeCell ref="Z18:AI18"/>
    <mergeCell ref="AB16:AE16"/>
    <mergeCell ref="L18:V18"/>
    <mergeCell ref="F15:K15"/>
    <mergeCell ref="L15:O15"/>
    <mergeCell ref="P15:X15"/>
    <mergeCell ref="C14:E15"/>
    <mergeCell ref="Y14:AA14"/>
    <mergeCell ref="Y15:AA15"/>
    <mergeCell ref="AB8:AE8"/>
    <mergeCell ref="AB7:AE7"/>
    <mergeCell ref="Y9:AA9"/>
    <mergeCell ref="R24:S24"/>
    <mergeCell ref="T24:U24"/>
    <mergeCell ref="V24:W24"/>
    <mergeCell ref="X24:Y24"/>
    <mergeCell ref="AB25:AC25"/>
    <mergeCell ref="AD25:AE25"/>
    <mergeCell ref="AF25:AG25"/>
    <mergeCell ref="AH25:AI25"/>
    <mergeCell ref="AF26:AG26"/>
    <mergeCell ref="AH26:AI26"/>
    <mergeCell ref="AB26:AC26"/>
    <mergeCell ref="P25:Q25"/>
    <mergeCell ref="R25:S25"/>
    <mergeCell ref="T25:U25"/>
    <mergeCell ref="V25:W25"/>
    <mergeCell ref="X25:Y25"/>
    <mergeCell ref="Z25:AA25"/>
    <mergeCell ref="V26:W26"/>
    <mergeCell ref="X26:Y26"/>
    <mergeCell ref="Z26:AA26"/>
    <mergeCell ref="P26:Q26"/>
    <mergeCell ref="R26:S26"/>
    <mergeCell ref="T26:U26"/>
    <mergeCell ref="A30:AI30"/>
    <mergeCell ref="A31:AI31"/>
    <mergeCell ref="A32:D33"/>
    <mergeCell ref="E32:L33"/>
    <mergeCell ref="M32:W33"/>
    <mergeCell ref="X32:AA33"/>
    <mergeCell ref="AB32:AI33"/>
    <mergeCell ref="L27:M27"/>
    <mergeCell ref="N27:O27"/>
    <mergeCell ref="AB27:AC27"/>
    <mergeCell ref="P27:Q27"/>
    <mergeCell ref="R27:S27"/>
    <mergeCell ref="T27:U27"/>
    <mergeCell ref="V27:W27"/>
    <mergeCell ref="X27:Y27"/>
    <mergeCell ref="Z27:AA27"/>
    <mergeCell ref="AH27:AI27"/>
    <mergeCell ref="A26:C27"/>
    <mergeCell ref="AD27:AE27"/>
    <mergeCell ref="AF27:AG27"/>
    <mergeCell ref="D27:E27"/>
    <mergeCell ref="F27:G27"/>
    <mergeCell ref="H27:I27"/>
    <mergeCell ref="J27:K27"/>
    <mergeCell ref="A29:D29"/>
    <mergeCell ref="E29:AI29"/>
    <mergeCell ref="D26:E26"/>
    <mergeCell ref="F26:G26"/>
    <mergeCell ref="H26:I26"/>
    <mergeCell ref="J26:K26"/>
    <mergeCell ref="L26:M26"/>
    <mergeCell ref="N26:O26"/>
    <mergeCell ref="AD26:AE26"/>
  </mergeCells>
  <printOptions horizontalCentered="1" verticalCentered="1"/>
  <pageMargins left="0.39370078740157483" right="0.39370078740157483" top="0.39370078740157483" bottom="0.39370078740157483" header="0.11811023622047245" footer="0.19685039370078741"/>
  <pageSetup paperSize="9" scale="95" orientation="portrait" r:id="rId1"/>
  <headerFooter>
    <oddHeader>&amp;L&amp;"-,Bold Italic"&amp;K04-049SIMRAN Technocrats, India&amp;R&amp;"-,Italic"&amp;8Page &amp;P of &amp;N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2B6FB-07C6-4CEA-A60C-C6FFFCE0FC02}">
  <dimension ref="A1:P40"/>
  <sheetViews>
    <sheetView view="pageBreakPreview" zoomScale="120" zoomScaleNormal="115" zoomScaleSheetLayoutView="120" workbookViewId="0">
      <selection activeCell="C5" sqref="C5:J7"/>
    </sheetView>
  </sheetViews>
  <sheetFormatPr defaultRowHeight="13.2"/>
  <cols>
    <col min="1" max="1" width="17.625" customWidth="1"/>
    <col min="2" max="2" width="7.875" bestFit="1" customWidth="1"/>
    <col min="3" max="3" width="10.375" bestFit="1" customWidth="1"/>
    <col min="4" max="4" width="5.875" bestFit="1" customWidth="1"/>
    <col min="5" max="5" width="7.125" bestFit="1" customWidth="1"/>
    <col min="6" max="6" width="7.5" bestFit="1" customWidth="1"/>
    <col min="7" max="7" width="7.625" bestFit="1" customWidth="1"/>
    <col min="8" max="8" width="6.125" bestFit="1" customWidth="1"/>
    <col min="9" max="9" width="30.125" bestFit="1" customWidth="1"/>
    <col min="10" max="13" width="10.375" bestFit="1" customWidth="1"/>
    <col min="14" max="14" width="6.375" bestFit="1" customWidth="1"/>
    <col min="15" max="15" width="10.375" bestFit="1" customWidth="1"/>
    <col min="16" max="16" width="13.875" customWidth="1"/>
  </cols>
  <sheetData>
    <row r="1" spans="1:16" ht="13.8">
      <c r="A1" s="50" t="s">
        <v>114</v>
      </c>
      <c r="B1" s="51" t="s">
        <v>115</v>
      </c>
      <c r="C1" s="51" t="s">
        <v>53</v>
      </c>
      <c r="D1" s="51" t="s">
        <v>116</v>
      </c>
      <c r="E1" s="92" t="s">
        <v>117</v>
      </c>
      <c r="F1" s="90"/>
      <c r="G1" s="90"/>
      <c r="H1" s="90"/>
      <c r="I1" s="93" t="s">
        <v>125</v>
      </c>
      <c r="J1" s="90" t="s">
        <v>126</v>
      </c>
      <c r="K1" s="90"/>
      <c r="L1" s="90" t="s">
        <v>127</v>
      </c>
      <c r="M1" s="90"/>
      <c r="N1" s="90" t="s">
        <v>118</v>
      </c>
      <c r="O1" s="90"/>
      <c r="P1" s="91"/>
    </row>
    <row r="2" spans="1:16" ht="13.8">
      <c r="A2" s="52" t="s">
        <v>119</v>
      </c>
      <c r="B2" s="49" t="s">
        <v>120</v>
      </c>
      <c r="C2" s="49" t="s">
        <v>19</v>
      </c>
      <c r="D2" s="49" t="s">
        <v>121</v>
      </c>
      <c r="E2" s="48" t="s">
        <v>122</v>
      </c>
      <c r="F2" s="47" t="s">
        <v>123</v>
      </c>
      <c r="G2" s="47" t="s">
        <v>124</v>
      </c>
      <c r="H2" s="47" t="s">
        <v>57</v>
      </c>
      <c r="I2" s="94"/>
      <c r="J2" s="47" t="s">
        <v>135</v>
      </c>
      <c r="K2" s="47" t="s">
        <v>136</v>
      </c>
      <c r="L2" s="47" t="s">
        <v>135</v>
      </c>
      <c r="M2" s="47" t="s">
        <v>136</v>
      </c>
      <c r="N2" s="47" t="s">
        <v>128</v>
      </c>
      <c r="O2" s="47" t="s">
        <v>129</v>
      </c>
      <c r="P2" s="53" t="s">
        <v>136</v>
      </c>
    </row>
    <row r="3" spans="1:16">
      <c r="A3" s="54" t="s">
        <v>137</v>
      </c>
      <c r="B3" s="72"/>
      <c r="C3" s="73"/>
      <c r="D3" s="74"/>
      <c r="E3" s="66"/>
      <c r="F3" s="66"/>
      <c r="G3" s="66"/>
      <c r="H3" s="66"/>
      <c r="I3" s="75"/>
      <c r="J3" s="75"/>
      <c r="K3" s="75"/>
      <c r="L3" s="75"/>
      <c r="M3" s="75"/>
      <c r="N3" s="75"/>
      <c r="O3" s="75"/>
      <c r="P3" s="55"/>
    </row>
    <row r="4" spans="1:16" ht="12" customHeight="1">
      <c r="A4" s="87" t="s">
        <v>152</v>
      </c>
      <c r="B4" s="23" t="s">
        <v>130</v>
      </c>
      <c r="C4" s="56">
        <v>24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57"/>
    </row>
    <row r="5" spans="1:16">
      <c r="A5" s="88"/>
      <c r="B5" s="62" t="s">
        <v>131</v>
      </c>
      <c r="C5" s="63" t="s">
        <v>153</v>
      </c>
      <c r="D5" s="64">
        <v>0.60416666666666663</v>
      </c>
      <c r="E5" s="65">
        <v>30.2</v>
      </c>
      <c r="F5" s="65">
        <v>28.8</v>
      </c>
      <c r="G5" s="65">
        <v>29.2</v>
      </c>
      <c r="H5" s="66">
        <v>69.8</v>
      </c>
      <c r="I5" s="67" t="s">
        <v>143</v>
      </c>
      <c r="J5" s="68" t="s">
        <v>155</v>
      </c>
      <c r="K5" s="69" t="s">
        <v>156</v>
      </c>
      <c r="L5" s="68" t="s">
        <v>157</v>
      </c>
      <c r="M5" s="69" t="s">
        <v>158</v>
      </c>
      <c r="N5" s="68" t="s">
        <v>144</v>
      </c>
      <c r="O5" s="68" t="s">
        <v>159</v>
      </c>
      <c r="P5" s="76" t="s">
        <v>160</v>
      </c>
    </row>
    <row r="6" spans="1:16">
      <c r="A6" s="88"/>
      <c r="B6" s="62" t="s">
        <v>133</v>
      </c>
      <c r="C6" s="63" t="s">
        <v>170</v>
      </c>
      <c r="D6" s="64">
        <v>0.5</v>
      </c>
      <c r="E6" s="65">
        <v>29.9</v>
      </c>
      <c r="F6" s="65">
        <v>29.1</v>
      </c>
      <c r="G6" s="65">
        <v>24.9</v>
      </c>
      <c r="H6" s="66">
        <v>70.400000000000006</v>
      </c>
      <c r="I6" s="67" t="s">
        <v>132</v>
      </c>
      <c r="J6" s="68" t="s">
        <v>161</v>
      </c>
      <c r="K6" s="69" t="s">
        <v>162</v>
      </c>
      <c r="L6" s="68" t="s">
        <v>157</v>
      </c>
      <c r="M6" s="69" t="s">
        <v>158</v>
      </c>
      <c r="N6" s="68" t="s">
        <v>144</v>
      </c>
      <c r="O6" s="68" t="s">
        <v>159</v>
      </c>
      <c r="P6" s="76" t="s">
        <v>160</v>
      </c>
    </row>
    <row r="7" spans="1:16">
      <c r="A7" s="89"/>
      <c r="B7" s="45" t="s">
        <v>134</v>
      </c>
      <c r="C7" s="59" t="s">
        <v>171</v>
      </c>
      <c r="D7" s="60">
        <v>0.45833333333333331</v>
      </c>
      <c r="E7" s="61">
        <v>31.5</v>
      </c>
      <c r="F7" s="61">
        <v>30.9</v>
      </c>
      <c r="G7" s="61">
        <v>28.9</v>
      </c>
      <c r="H7" s="46">
        <v>74.2</v>
      </c>
      <c r="I7" s="58" t="s">
        <v>47</v>
      </c>
      <c r="J7" s="70" t="s">
        <v>163</v>
      </c>
      <c r="K7" s="71" t="s">
        <v>164</v>
      </c>
      <c r="L7" s="70" t="s">
        <v>165</v>
      </c>
      <c r="M7" s="71" t="s">
        <v>166</v>
      </c>
      <c r="N7" s="70" t="s">
        <v>146</v>
      </c>
      <c r="O7" s="70" t="s">
        <v>167</v>
      </c>
      <c r="P7" s="77" t="s">
        <v>168</v>
      </c>
    </row>
    <row r="8" spans="1:16" ht="12" customHeight="1"/>
    <row r="12" spans="1:16" ht="12" customHeight="1"/>
    <row r="16" spans="1:16" ht="12" customHeight="1"/>
    <row r="20" ht="12" customHeight="1"/>
    <row r="24" ht="12" customHeight="1"/>
    <row r="28" ht="12" customHeight="1"/>
    <row r="32" ht="12" customHeight="1"/>
    <row r="36" ht="12" customHeight="1"/>
    <row r="40" ht="12" customHeight="1"/>
  </sheetData>
  <mergeCells count="6">
    <mergeCell ref="A4:A7"/>
    <mergeCell ref="E1:H1"/>
    <mergeCell ref="I1:I2"/>
    <mergeCell ref="J1:K1"/>
    <mergeCell ref="L1:M1"/>
    <mergeCell ref="N1:P1"/>
  </mergeCells>
  <printOptions horizontalCentered="1" verticalCentered="1"/>
  <pageMargins left="0" right="0" top="0" bottom="0" header="0" footer="0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01 (SP+1)</vt:lpstr>
      <vt:lpstr>03 (DFT Final)</vt:lpstr>
      <vt:lpstr>COATING DATA</vt:lpstr>
      <vt:lpstr>'01 (SP+1)'!Print_Area</vt:lpstr>
      <vt:lpstr>'03 (DFT Final)'!Print_Area</vt:lpstr>
      <vt:lpstr>'COATING DATA'!Print_Area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Desh</dc:creator>
  <cp:lastModifiedBy>Yatin Mehta</cp:lastModifiedBy>
  <cp:lastPrinted>2026-05-24T11:03:09Z</cp:lastPrinted>
  <dcterms:created xsi:type="dcterms:W3CDTF">2019-07-27T08:48:25Z</dcterms:created>
  <dcterms:modified xsi:type="dcterms:W3CDTF">2026-09-12T06:32:10Z</dcterms:modified>
</cp:coreProperties>
</file>